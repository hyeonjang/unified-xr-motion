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1) N=16 결과" sheetId="2" r:id="rId6"/>
  </sheets>
  <definedNames/>
  <calcPr/>
</workbook>
</file>

<file path=xl/sharedStrings.xml><?xml version="1.0" encoding="utf-8"?>
<sst xmlns="http://schemas.openxmlformats.org/spreadsheetml/2006/main" count="140" uniqueCount="58">
  <si>
    <t>Timestamp</t>
  </si>
  <si>
    <t xml:space="preserve">연구 참여 동의 확인 </t>
  </si>
  <si>
    <t xml:space="preserve">프로그래밍에 대한 관련 경험 수준은 어느정도 입니까?
</t>
  </si>
  <si>
    <t>게임 엔진 (예: Unity, Unreal 등), VR 및3D 그래픽스 프로그래밍 관련 경험 수준은 어느 정도입니까?</t>
  </si>
  <si>
    <t>1) 소요시간
총 소요시간이 얼마나 걸리셨습니까 (초 단위로 숫자만 기입 )
예시: 78, 129, 339</t>
  </si>
  <si>
    <t>2) NASA-TLX
(1) 정신적 요구 (Mental Demand) 이 작업은 정신적으로 얼마나 요구가 많았습니까?</t>
  </si>
  <si>
    <t>2) NASA-TLX
(2) 신체적 요구 (Physical Demand) 이 작업은 신체적으로 얼마나 요구가 많았습니까?</t>
  </si>
  <si>
    <t>2) NASA-TLX
(3) 시간 압박 (Temporal Demand) 작업을 수행하는 동안 시간적 압박을 얼마나 느꼈습니까?</t>
  </si>
  <si>
    <t>2) NASA-TLX
(4) 성과 (Performance) 본인의 작업 수행이 얼마나 성공적이었다고 생각합니까?</t>
  </si>
  <si>
    <t>2) NASA-TLX
(5) 노력 (Effort) 원하는 성과를 달성하기 위해 얼마나 많은 노력을 기울였습니까?</t>
  </si>
  <si>
    <t>2) NASA-TLX
(6) 좌절감 (Frustration) 작업 중 얼마나 불안, 스트레스, 좌절, 짜증 등을 경험했습니까?</t>
  </si>
  <si>
    <t>3) SUS (System Usability Scale)
(1) 나는 이 시스템을 자주 사용하고 싶다고 생각한다.</t>
  </si>
  <si>
    <t>3) SUS (System Usability Scale)
(2) 나는 이 시스템이 불필요하게 복잡하다고 느꼈다.</t>
  </si>
  <si>
    <t>3) SUS (System Usability Scale)
(3) 나는 이 시스템이 사용하기 쉽다고 생각했다.</t>
  </si>
  <si>
    <t>3) SUS (System Usability Scale)
(4) 나는 이 시스템을 사용하기 위해 기술 지원이 필요하다고 생각했다.</t>
  </si>
  <si>
    <t>3) SUS (System Usability Scale)
(5) 나는 이 시스템의 다양한 기능들이 잘 통합되어 있다고 느꼈다.</t>
  </si>
  <si>
    <t>3) SUS (System Usability Scale)
(6) 나는 이 시스템에 일관성이 부족하다고 느꼈다.</t>
  </si>
  <si>
    <t>3) SUS (System Usability Scale)
(7) 대부분의 사람들이 이 시스템을 금방 배워 사용할 수 있을 것이라고 생각한다.</t>
  </si>
  <si>
    <t>3) SUS (System Usability Scale)
(8) 나는 이 시스템이 사용하기 매우 번거롭다고 느꼈다.</t>
  </si>
  <si>
    <t>3) SUS (System Usability Scale)
(9) 나는 이 시스템을 사용하는 데 있어 자신감이 있었다.</t>
  </si>
  <si>
    <t>3) SUS (System Usability Scale)
(10)나는 이 시스템을 사용하기 시작하기 전에 많은 것을 배워야 했다고 생각한다.</t>
  </si>
  <si>
    <t>1) 소요시간_x000a__x000a_총 소요시간이 얼마나 걸리셨습니까 (초 단위로 숫자만 기입 )_x000a_예시: 78, 129, 339 2</t>
  </si>
  <si>
    <t>2) NASA-TLX_x000a__x000a_(1) 정신적 요구 (Mental Demand) 이 작업은 정신적으로 얼마나 요구가 많았습니까? 2</t>
  </si>
  <si>
    <t>2) NASA-TLX_x000a__x000a_(2) 신체적 요구 (Physical Demand) 이 작업은 신체적으로 얼마나 요구가 많았습니까? 2</t>
  </si>
  <si>
    <t>2) NASA-TLX_x000a__x000a_(3) 시간 압박 (Temporal Demand) 작업을 수행하는 동안 시간적 압박을 얼마나 느꼈습니까? 2</t>
  </si>
  <si>
    <t>2) NASA-TLX_x000a__x000a_(4) 성과 (Performance) 본인의 작업 수행이 얼마나 성공적이었다고 생각합니까? 2</t>
  </si>
  <si>
    <t>2) NASA-TLX_x000a__x000a_(5) 노력 (Effort) 원하는 성과를 달성하기 위해 얼마나 많은 노력을 기울였습니까? 2</t>
  </si>
  <si>
    <t>2) NASA-TLX_x000a__x000a_(6) 좌절감 (Frustration) 작업 중 얼마나 불안, 스트레스, 좌절, 짜증 등을 경험했습니까? 2</t>
  </si>
  <si>
    <t>3) SUS (System Usability Scale)_x000a__x000a_(1) 나는 이 시스템을 자주 사용하고 싶다고 생각한다. 2</t>
  </si>
  <si>
    <t>3) SUS (System Usability Scale)_x000a__x000a_(2) 나는 이 시스템이 불필요하게 복잡하다고 느꼈다. 2</t>
  </si>
  <si>
    <t>3) SUS (System Usability Scale)_x000a__x000a_(3) 나는 이 시스템이 사용하기 쉽다고 생각했다. 2</t>
  </si>
  <si>
    <t>3) SUS (System Usability Scale)_x000a__x000a_(4) 나는 이 시스템을 사용하기 위해 기술 지원이 필요하다고 생각했다. 2</t>
  </si>
  <si>
    <t>3) SUS (System Usability Scale)_x000a__x000a_(5) 나는 이 시스템의 다양한 기능들이 잘 통합되어 있다고 느꼈다. 2</t>
  </si>
  <si>
    <t>3) SUS (System Usability Scale)_x000a__x000a_(6) 나는 이 시스템에 일관성이 부족하다고 느꼈다. 2</t>
  </si>
  <si>
    <t>3) SUS (System Usability Scale)_x000a__x000a_(7) 대부분의 사람들이 이 시스템을 금방 배워 사용할 수 있을 것이라고 생각한다. 2</t>
  </si>
  <si>
    <t>3) SUS (System Usability Scale)_x000a__x000a_(8) 나는 이 시스템이 사용하기 매우 번거롭다고 느꼈다. 2</t>
  </si>
  <si>
    <t>3) SUS (System Usability Scale)_x000a__x000a_(9) 나는 이 시스템을 사용하는 데 있어 자신감이 있었다. 2</t>
  </si>
  <si>
    <t>3) SUS (System Usability Scale)_x000a__x000a_(10)나는 이 시스템을 사용하기 시작하기 전에 많은 것을 배워야 했다고 생각한다. 2</t>
  </si>
  <si>
    <t>예, 연구 참여에 동의합니다.</t>
  </si>
  <si>
    <t xml:space="preserve"> </t>
  </si>
  <si>
    <t>SDK A</t>
  </si>
  <si>
    <t>SDK B</t>
  </si>
  <si>
    <t>SDK 시행순서</t>
  </si>
  <si>
    <t>AB</t>
  </si>
  <si>
    <t>BA</t>
  </si>
  <si>
    <t>NASA-TLX</t>
  </si>
  <si>
    <t>SUS</t>
  </si>
  <si>
    <t>소요시간</t>
  </si>
  <si>
    <t>TLX
Score</t>
  </si>
  <si>
    <t>SUS
Score</t>
  </si>
  <si>
    <t>정신적 요구</t>
  </si>
  <si>
    <t>신체적 요구</t>
  </si>
  <si>
    <t>시간압박</t>
  </si>
  <si>
    <t>성과(inv.)</t>
  </si>
  <si>
    <t>노력</t>
  </si>
  <si>
    <t>좌절감</t>
  </si>
  <si>
    <t>SDK A / SDK B</t>
  </si>
  <si>
    <t>감소율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</si>
</sst>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readingOrder="0"/>
    </xf>
    <xf borderId="7" fillId="0" fontId="3" numFmtId="0" xfId="0" applyBorder="1" applyFont="1"/>
    <xf borderId="2" fillId="0" fontId="1" numFmtId="0" xfId="0" applyBorder="1" applyFont="1"/>
    <xf borderId="4" fillId="0" fontId="1" numFmtId="0" xfId="0" applyBorder="1" applyFont="1"/>
    <xf borderId="6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2" fillId="0" fontId="2" numFmtId="0" xfId="0" applyAlignment="1" applyBorder="1" applyFont="1">
      <alignment readingOrder="0"/>
    </xf>
    <xf borderId="3" fillId="0" fontId="1" numFmtId="0" xfId="0" applyBorder="1" applyFont="1"/>
    <xf borderId="0" fillId="0" fontId="1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orm Responses 1-style 2">
      <tableStyleElement dxfId="2" type="firstRowStripe"/>
      <tableStyleElement dxfId="3" type="secondRowStripe"/>
    </tableStyle>
    <tableStyle count="4" pivot="0" name="1) N=16 결과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1) N=16 결과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20" displayName="Form_Responses" name="Form_Responses" id="1">
  <tableColumns count="38">
    <tableColumn name="Timestamp" id="1"/>
    <tableColumn name="연구 참여 동의 확인 " id="2"/>
    <tableColumn name="프로그래밍에 대한 관련 경험 수준은 어느정도 입니까?_x000a__x000a_" id="3"/>
    <tableColumn name="게임 엔진 (예: Unity, Unreal 등), VR 및3D 그래픽스 프로그래밍 관련 경험 수준은 어느 정도입니까?" id="4"/>
    <tableColumn name="1) 소요시간_x000a__x000a_총 소요시간이 얼마나 걸리셨습니까 (초 단위로 숫자만 기입 )_x000a_예시: 78, 129, 339" id="5"/>
    <tableColumn name="2) NASA-TLX_x000a__x000a_(1) 정신적 요구 (Mental Demand) 이 작업은 정신적으로 얼마나 요구가 많았습니까?" id="6"/>
    <tableColumn name="2) NASA-TLX_x000a__x000a_(2) 신체적 요구 (Physical Demand) 이 작업은 신체적으로 얼마나 요구가 많았습니까?" id="7"/>
    <tableColumn name="2) NASA-TLX_x000a__x000a_(3) 시간 압박 (Temporal Demand) 작업을 수행하는 동안 시간적 압박을 얼마나 느꼈습니까?" id="8"/>
    <tableColumn name="2) NASA-TLX_x000a__x000a_(4) 성과 (Performance) 본인의 작업 수행이 얼마나 성공적이었다고 생각합니까?" id="9"/>
    <tableColumn name="2) NASA-TLX_x000a__x000a_(5) 노력 (Effort) 원하는 성과를 달성하기 위해 얼마나 많은 노력을 기울였습니까?" id="10"/>
    <tableColumn name="2) NASA-TLX_x000a__x000a_(6) 좌절감 (Frustration) 작업 중 얼마나 불안, 스트레스, 좌절, 짜증 등을 경험했습니까?" id="11"/>
    <tableColumn name="3) SUS (System Usability Scale)_x000a__x000a_(1) 나는 이 시스템을 자주 사용하고 싶다고 생각한다." id="12"/>
    <tableColumn name="3) SUS (System Usability Scale)_x000a__x000a_(2) 나는 이 시스템이 불필요하게 복잡하다고 느꼈다." id="13"/>
    <tableColumn name="3) SUS (System Usability Scale)_x000a__x000a_(3) 나는 이 시스템이 사용하기 쉽다고 생각했다." id="14"/>
    <tableColumn name="3) SUS (System Usability Scale)_x000a__x000a_(4) 나는 이 시스템을 사용하기 위해 기술 지원이 필요하다고 생각했다." id="15"/>
    <tableColumn name="3) SUS (System Usability Scale)_x000a__x000a_(5) 나는 이 시스템의 다양한 기능들이 잘 통합되어 있다고 느꼈다." id="16"/>
    <tableColumn name="3) SUS (System Usability Scale)_x000a__x000a_(6) 나는 이 시스템에 일관성이 부족하다고 느꼈다." id="17"/>
    <tableColumn name="3) SUS (System Usability Scale)_x000a__x000a_(7) 대부분의 사람들이 이 시스템을 금방 배워 사용할 수 있을 것이라고 생각한다." id="18"/>
    <tableColumn name="3) SUS (System Usability Scale)_x000a__x000a_(8) 나는 이 시스템이 사용하기 매우 번거롭다고 느꼈다." id="19"/>
    <tableColumn name="3) SUS (System Usability Scale)_x000a__x000a_(9) 나는 이 시스템을 사용하는 데 있어 자신감이 있었다." id="20"/>
    <tableColumn name="3) SUS (System Usability Scale)_x000a__x000a_(10)나는 이 시스템을 사용하기 시작하기 전에 많은 것을 배워야 했다고 생각한다." id="21"/>
    <tableColumn name="1) 소요시간_x000a__x000a_총 소요시간이 얼마나 걸리셨습니까 (초 단위로 숫자만 기입 )_x000a_예시: 78, 129, 339 2" id="22"/>
    <tableColumn name="2) NASA-TLX_x000a__x000a_(1) 정신적 요구 (Mental Demand) 이 작업은 정신적으로 얼마나 요구가 많았습니까? 2" id="23"/>
    <tableColumn name="2) NASA-TLX_x000a__x000a_(2) 신체적 요구 (Physical Demand) 이 작업은 신체적으로 얼마나 요구가 많았습니까? 2" id="24"/>
    <tableColumn name="2) NASA-TLX_x000a__x000a_(3) 시간 압박 (Temporal Demand) 작업을 수행하는 동안 시간적 압박을 얼마나 느꼈습니까? 2" id="25"/>
    <tableColumn name="2) NASA-TLX_x000a__x000a_(4) 성과 (Performance) 본인의 작업 수행이 얼마나 성공적이었다고 생각합니까? 2" id="26"/>
    <tableColumn name="2) NASA-TLX_x000a__x000a_(5) 노력 (Effort) 원하는 성과를 달성하기 위해 얼마나 많은 노력을 기울였습니까? 2" id="27"/>
    <tableColumn name="2) NASA-TLX_x000a__x000a_(6) 좌절감 (Frustration) 작업 중 얼마나 불안, 스트레스, 좌절, 짜증 등을 경험했습니까? 2" id="28"/>
    <tableColumn name="3) SUS (System Usability Scale)_x000a__x000a_(1) 나는 이 시스템을 자주 사용하고 싶다고 생각한다. 2" id="29"/>
    <tableColumn name="3) SUS (System Usability Scale)_x000a__x000a_(2) 나는 이 시스템이 불필요하게 복잡하다고 느꼈다. 2" id="30"/>
    <tableColumn name="3) SUS (System Usability Scale)_x000a__x000a_(3) 나는 이 시스템이 사용하기 쉽다고 생각했다. 2" id="31"/>
    <tableColumn name="3) SUS (System Usability Scale)_x000a__x000a_(4) 나는 이 시스템을 사용하기 위해 기술 지원이 필요하다고 생각했다. 2" id="32"/>
    <tableColumn name="3) SUS (System Usability Scale)_x000a__x000a_(5) 나는 이 시스템의 다양한 기능들이 잘 통합되어 있다고 느꼈다. 2" id="33"/>
    <tableColumn name="3) SUS (System Usability Scale)_x000a__x000a_(6) 나는 이 시스템에 일관성이 부족하다고 느꼈다. 2" id="34"/>
    <tableColumn name="3) SUS (System Usability Scale)_x000a__x000a_(7) 대부분의 사람들이 이 시스템을 금방 배워 사용할 수 있을 것이라고 생각한다. 2" id="35"/>
    <tableColumn name="3) SUS (System Usability Scale)_x000a__x000a_(8) 나는 이 시스템이 사용하기 매우 번거롭다고 느꼈다. 2" id="36"/>
    <tableColumn name="3) SUS (System Usability Scale)_x000a__x000a_(9) 나는 이 시스템을 사용하는 데 있어 자신감이 있었다. 2" id="37"/>
    <tableColumn name="3) SUS (System Usability Scale)_x000a__x000a_(10)나는 이 시스템을 사용하기 시작하기 전에 많은 것을 배워야 했다고 생각한다. 2" id="3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4:AL32" displayName="Table_1" name="Table_1" id="2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Form Responses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:AI3" displayName="Table1" name="Table1" id="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1) N=16 결과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4:AI19" displayName="Table_2" name="Table_2" id="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1) N=16 결과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5"/>
    <col customWidth="1" min="4" max="4" width="37.63"/>
    <col customWidth="1" min="5" max="5" width="27.13"/>
    <col customWidth="1" min="6" max="11" width="37.63"/>
    <col customWidth="1" min="12" max="14" width="28.13"/>
    <col customWidth="1" min="15" max="15" width="31.0"/>
    <col customWidth="1" min="16" max="16" width="29.5"/>
    <col customWidth="1" min="17" max="17" width="28.13"/>
    <col customWidth="1" min="18" max="18" width="34.63"/>
    <col customWidth="1" min="19" max="20" width="28.13"/>
    <col customWidth="1" min="21" max="21" width="35.13"/>
    <col customWidth="1" min="22" max="22" width="27.13"/>
    <col customWidth="1" min="23" max="28" width="37.63"/>
    <col customWidth="1" min="29" max="31" width="28.13"/>
    <col customWidth="1" min="32" max="32" width="31.0"/>
    <col customWidth="1" min="33" max="33" width="29.5"/>
    <col customWidth="1" min="34" max="34" width="28.13"/>
    <col customWidth="1" min="35" max="35" width="34.63"/>
    <col customWidth="1" min="36" max="37" width="28.13"/>
    <col customWidth="1" min="38" max="38" width="35.13"/>
    <col customWidth="1" min="39" max="4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2.5" customHeight="1">
      <c r="A2" s="2">
        <v>45908.49254723379</v>
      </c>
      <c r="B2" s="3" t="s">
        <v>38</v>
      </c>
      <c r="C2" s="3">
        <v>3.0</v>
      </c>
      <c r="D2" s="3">
        <v>4.0</v>
      </c>
      <c r="E2" s="3">
        <v>541.0</v>
      </c>
      <c r="F2" s="3">
        <v>65.0</v>
      </c>
      <c r="G2" s="3">
        <v>10.0</v>
      </c>
      <c r="H2" s="3">
        <v>10.0</v>
      </c>
      <c r="I2" s="3">
        <v>75.0</v>
      </c>
      <c r="J2" s="3">
        <v>30.0</v>
      </c>
      <c r="K2" s="3">
        <v>0.0</v>
      </c>
      <c r="L2" s="3">
        <v>4.0</v>
      </c>
      <c r="M2" s="3">
        <v>2.0</v>
      </c>
      <c r="N2" s="3">
        <v>3.0</v>
      </c>
      <c r="O2" s="3">
        <v>4.0</v>
      </c>
      <c r="P2" s="3">
        <v>4.0</v>
      </c>
      <c r="Q2" s="3">
        <v>2.0</v>
      </c>
      <c r="R2" s="3">
        <v>4.0</v>
      </c>
      <c r="S2" s="3">
        <v>2.0</v>
      </c>
      <c r="T2" s="3">
        <v>5.0</v>
      </c>
      <c r="U2" s="3">
        <v>3.0</v>
      </c>
      <c r="V2" s="3">
        <v>796.0</v>
      </c>
      <c r="W2" s="3">
        <v>80.0</v>
      </c>
      <c r="X2" s="3">
        <v>20.0</v>
      </c>
      <c r="Y2" s="3">
        <v>10.0</v>
      </c>
      <c r="Z2" s="3">
        <v>85.0</v>
      </c>
      <c r="AA2" s="3">
        <v>50.0</v>
      </c>
      <c r="AB2" s="3">
        <v>10.0</v>
      </c>
      <c r="AC2" s="3">
        <v>1.0</v>
      </c>
      <c r="AD2" s="3">
        <v>5.0</v>
      </c>
      <c r="AE2" s="3">
        <v>2.0</v>
      </c>
      <c r="AF2" s="3">
        <v>5.0</v>
      </c>
      <c r="AG2" s="3">
        <v>2.0</v>
      </c>
      <c r="AH2" s="3">
        <v>1.0</v>
      </c>
      <c r="AI2" s="3">
        <v>2.0</v>
      </c>
      <c r="AJ2" s="3">
        <v>4.0</v>
      </c>
      <c r="AK2" s="3">
        <v>3.0</v>
      </c>
      <c r="AL2" s="3">
        <v>5.0</v>
      </c>
    </row>
    <row r="3" ht="22.5" customHeight="1">
      <c r="A3" s="2">
        <v>45908.497195</v>
      </c>
      <c r="B3" s="3" t="s">
        <v>38</v>
      </c>
      <c r="C3" s="3">
        <v>5.0</v>
      </c>
      <c r="D3" s="3">
        <v>5.0</v>
      </c>
      <c r="E3" s="3">
        <v>818.0</v>
      </c>
      <c r="F3" s="3">
        <v>70.0</v>
      </c>
      <c r="G3" s="3">
        <v>20.0</v>
      </c>
      <c r="H3" s="3">
        <v>40.0</v>
      </c>
      <c r="I3" s="3">
        <v>75.0</v>
      </c>
      <c r="J3" s="3">
        <v>80.0</v>
      </c>
      <c r="K3" s="3">
        <v>25.0</v>
      </c>
      <c r="L3" s="3">
        <v>3.0</v>
      </c>
      <c r="M3" s="3">
        <v>2.0</v>
      </c>
      <c r="N3" s="3">
        <v>3.0</v>
      </c>
      <c r="O3" s="3">
        <v>4.0</v>
      </c>
      <c r="P3" s="3">
        <v>4.0</v>
      </c>
      <c r="Q3" s="3">
        <v>2.0</v>
      </c>
      <c r="R3" s="3">
        <v>1.0</v>
      </c>
      <c r="S3" s="3">
        <v>2.0</v>
      </c>
      <c r="T3" s="3">
        <v>4.0</v>
      </c>
      <c r="U3" s="3">
        <v>3.0</v>
      </c>
      <c r="V3" s="3">
        <v>1200.0</v>
      </c>
      <c r="W3" s="3">
        <v>85.0</v>
      </c>
      <c r="X3" s="3">
        <v>30.0</v>
      </c>
      <c r="Y3" s="3">
        <v>40.0</v>
      </c>
      <c r="Z3" s="3">
        <v>90.0</v>
      </c>
      <c r="AA3" s="3">
        <v>95.0</v>
      </c>
      <c r="AB3" s="3">
        <v>30.0</v>
      </c>
      <c r="AC3" s="3">
        <v>2.0</v>
      </c>
      <c r="AD3" s="3">
        <v>5.0</v>
      </c>
      <c r="AE3" s="3">
        <v>2.0</v>
      </c>
      <c r="AF3" s="3">
        <v>5.0</v>
      </c>
      <c r="AG3" s="3">
        <v>2.0</v>
      </c>
      <c r="AH3" s="3">
        <v>5.0</v>
      </c>
      <c r="AI3" s="3">
        <v>1.0</v>
      </c>
      <c r="AJ3" s="3">
        <v>4.0</v>
      </c>
      <c r="AK3" s="3">
        <v>2.0</v>
      </c>
      <c r="AL3" s="3">
        <v>5.0</v>
      </c>
    </row>
    <row r="4" ht="22.5" customHeight="1">
      <c r="A4" s="2">
        <v>45908.693670243054</v>
      </c>
      <c r="B4" s="3" t="s">
        <v>38</v>
      </c>
      <c r="C4" s="3">
        <v>3.0</v>
      </c>
      <c r="D4" s="3">
        <v>3.0</v>
      </c>
      <c r="E4" s="3">
        <v>407.0</v>
      </c>
      <c r="F4" s="3">
        <v>40.0</v>
      </c>
      <c r="G4" s="3">
        <v>10.0</v>
      </c>
      <c r="H4" s="3">
        <v>10.0</v>
      </c>
      <c r="I4" s="3">
        <v>60.0</v>
      </c>
      <c r="J4" s="3">
        <v>20.0</v>
      </c>
      <c r="K4" s="3">
        <v>10.0</v>
      </c>
      <c r="L4" s="3">
        <v>3.0</v>
      </c>
      <c r="M4" s="3">
        <v>2.0</v>
      </c>
      <c r="N4" s="3">
        <v>3.0</v>
      </c>
      <c r="O4" s="3">
        <v>2.0</v>
      </c>
      <c r="P4" s="3">
        <v>3.0</v>
      </c>
      <c r="Q4" s="3">
        <v>2.0</v>
      </c>
      <c r="R4" s="3">
        <v>3.0</v>
      </c>
      <c r="S4" s="3">
        <v>2.0</v>
      </c>
      <c r="T4" s="3">
        <v>3.0</v>
      </c>
      <c r="U4" s="3">
        <v>2.0</v>
      </c>
      <c r="V4" s="3">
        <v>950.0</v>
      </c>
      <c r="W4" s="3">
        <v>75.0</v>
      </c>
      <c r="X4" s="3">
        <v>10.0</v>
      </c>
      <c r="Y4" s="3">
        <v>10.0</v>
      </c>
      <c r="Z4" s="3">
        <v>70.0</v>
      </c>
      <c r="AA4" s="3">
        <v>70.0</v>
      </c>
      <c r="AB4" s="3">
        <v>10.0</v>
      </c>
      <c r="AC4" s="3">
        <v>3.0</v>
      </c>
      <c r="AD4" s="3">
        <v>2.0</v>
      </c>
      <c r="AE4" s="3">
        <v>2.0</v>
      </c>
      <c r="AF4" s="3">
        <v>3.0</v>
      </c>
      <c r="AG4" s="3">
        <v>2.0</v>
      </c>
      <c r="AH4" s="3">
        <v>2.0</v>
      </c>
      <c r="AI4" s="3">
        <v>2.0</v>
      </c>
      <c r="AJ4" s="3">
        <v>3.0</v>
      </c>
      <c r="AK4" s="3">
        <v>2.0</v>
      </c>
      <c r="AL4" s="3">
        <v>4.0</v>
      </c>
    </row>
    <row r="5" ht="22.5" customHeight="1">
      <c r="A5" s="2">
        <v>45908.703559409725</v>
      </c>
      <c r="B5" s="3" t="s">
        <v>38</v>
      </c>
      <c r="C5" s="3">
        <v>3.0</v>
      </c>
      <c r="D5" s="3">
        <v>2.0</v>
      </c>
      <c r="E5" s="3">
        <v>701.0</v>
      </c>
      <c r="F5" s="3">
        <v>0.0</v>
      </c>
      <c r="G5" s="3">
        <v>0.0</v>
      </c>
      <c r="H5" s="3">
        <v>0.0</v>
      </c>
      <c r="I5" s="3">
        <v>100.0</v>
      </c>
      <c r="J5" s="3">
        <v>10.0</v>
      </c>
      <c r="K5" s="3">
        <v>0.0</v>
      </c>
      <c r="L5" s="3">
        <v>4.0</v>
      </c>
      <c r="M5" s="3">
        <v>1.0</v>
      </c>
      <c r="N5" s="3">
        <v>5.0</v>
      </c>
      <c r="O5" s="3">
        <v>1.0</v>
      </c>
      <c r="P5" s="3">
        <v>4.0</v>
      </c>
      <c r="Q5" s="3">
        <v>1.0</v>
      </c>
      <c r="R5" s="3">
        <v>5.0</v>
      </c>
      <c r="S5" s="3">
        <v>1.0</v>
      </c>
      <c r="T5" s="3">
        <v>4.0</v>
      </c>
      <c r="U5" s="3">
        <v>3.0</v>
      </c>
      <c r="V5" s="3">
        <v>1417.0</v>
      </c>
      <c r="W5" s="3">
        <v>20.0</v>
      </c>
      <c r="X5" s="3">
        <v>0.0</v>
      </c>
      <c r="Y5" s="3">
        <v>0.0</v>
      </c>
      <c r="Z5" s="3">
        <v>100.0</v>
      </c>
      <c r="AA5" s="3">
        <v>20.0</v>
      </c>
      <c r="AB5" s="3">
        <v>20.0</v>
      </c>
      <c r="AC5" s="3">
        <v>3.0</v>
      </c>
      <c r="AD5" s="3">
        <v>4.0</v>
      </c>
      <c r="AE5" s="3">
        <v>2.0</v>
      </c>
      <c r="AF5" s="3">
        <v>4.0</v>
      </c>
      <c r="AG5" s="3">
        <v>2.0</v>
      </c>
      <c r="AH5" s="3">
        <v>3.0</v>
      </c>
      <c r="AI5" s="3">
        <v>1.0</v>
      </c>
      <c r="AJ5" s="3">
        <v>5.0</v>
      </c>
      <c r="AK5" s="3">
        <v>2.0</v>
      </c>
      <c r="AL5" s="3">
        <v>5.0</v>
      </c>
    </row>
    <row r="6" ht="22.5" customHeight="1">
      <c r="A6" s="2">
        <v>45908.70581349537</v>
      </c>
      <c r="B6" s="3" t="s">
        <v>38</v>
      </c>
      <c r="C6" s="3">
        <v>3.0</v>
      </c>
      <c r="D6" s="3">
        <v>3.0</v>
      </c>
      <c r="E6" s="3">
        <v>801.0</v>
      </c>
      <c r="F6" s="3">
        <v>60.0</v>
      </c>
      <c r="G6" s="3">
        <v>30.0</v>
      </c>
      <c r="H6" s="3">
        <v>30.0</v>
      </c>
      <c r="I6" s="3">
        <v>60.0</v>
      </c>
      <c r="J6" s="3">
        <v>40.0</v>
      </c>
      <c r="K6" s="3">
        <v>30.0</v>
      </c>
      <c r="L6" s="3">
        <v>3.0</v>
      </c>
      <c r="M6" s="3">
        <v>2.0</v>
      </c>
      <c r="N6" s="3">
        <v>4.0</v>
      </c>
      <c r="O6" s="3">
        <v>3.0</v>
      </c>
      <c r="P6" s="3">
        <v>4.0</v>
      </c>
      <c r="Q6" s="3">
        <v>2.0</v>
      </c>
      <c r="R6" s="3">
        <v>4.0</v>
      </c>
      <c r="S6" s="3">
        <v>2.0</v>
      </c>
      <c r="T6" s="3">
        <v>3.0</v>
      </c>
      <c r="U6" s="3">
        <v>2.0</v>
      </c>
      <c r="V6" s="3">
        <v>1529.0</v>
      </c>
      <c r="W6" s="3">
        <v>80.0</v>
      </c>
      <c r="X6" s="3">
        <v>60.0</v>
      </c>
      <c r="Y6" s="3">
        <v>40.0</v>
      </c>
      <c r="Z6" s="3">
        <v>50.0</v>
      </c>
      <c r="AA6" s="3">
        <v>70.0</v>
      </c>
      <c r="AB6" s="3">
        <v>80.0</v>
      </c>
      <c r="AC6" s="3">
        <v>2.0</v>
      </c>
      <c r="AD6" s="3">
        <v>4.0</v>
      </c>
      <c r="AE6" s="3">
        <v>2.0</v>
      </c>
      <c r="AF6" s="3">
        <v>5.0</v>
      </c>
      <c r="AG6" s="3">
        <v>2.0</v>
      </c>
      <c r="AH6" s="3">
        <v>5.0</v>
      </c>
      <c r="AI6" s="3">
        <v>2.0</v>
      </c>
      <c r="AJ6" s="3">
        <v>4.0</v>
      </c>
      <c r="AK6" s="3">
        <v>1.0</v>
      </c>
      <c r="AL6" s="3">
        <v>4.0</v>
      </c>
    </row>
    <row r="7" ht="22.5" customHeight="1">
      <c r="A7" s="4">
        <v>45909.44375877315</v>
      </c>
      <c r="B7" s="5" t="s">
        <v>38</v>
      </c>
      <c r="C7" s="5">
        <v>4.0</v>
      </c>
      <c r="D7" s="5">
        <v>4.0</v>
      </c>
      <c r="E7" s="5">
        <v>378.0</v>
      </c>
      <c r="F7" s="5">
        <v>20.0</v>
      </c>
      <c r="G7" s="5">
        <v>20.0</v>
      </c>
      <c r="H7" s="5">
        <v>10.0</v>
      </c>
      <c r="I7" s="5">
        <v>90.0</v>
      </c>
      <c r="J7" s="5">
        <v>20.0</v>
      </c>
      <c r="K7" s="5">
        <v>0.0</v>
      </c>
      <c r="L7" s="5">
        <v>5.0</v>
      </c>
      <c r="M7" s="5">
        <v>1.0</v>
      </c>
      <c r="N7" s="5">
        <v>5.0</v>
      </c>
      <c r="O7" s="5">
        <v>2.0</v>
      </c>
      <c r="P7" s="5">
        <v>5.0</v>
      </c>
      <c r="Q7" s="5">
        <v>1.0</v>
      </c>
      <c r="R7" s="5">
        <v>5.0</v>
      </c>
      <c r="S7" s="5">
        <v>1.0</v>
      </c>
      <c r="T7" s="5">
        <v>5.0</v>
      </c>
      <c r="U7" s="5">
        <v>1.0</v>
      </c>
      <c r="V7" s="5">
        <v>697.0</v>
      </c>
      <c r="W7" s="5">
        <v>80.0</v>
      </c>
      <c r="X7" s="5">
        <v>20.0</v>
      </c>
      <c r="Y7" s="5">
        <v>90.0</v>
      </c>
      <c r="Z7" s="5">
        <v>80.0</v>
      </c>
      <c r="AA7" s="5">
        <v>80.0</v>
      </c>
      <c r="AB7" s="5">
        <v>60.0</v>
      </c>
      <c r="AC7" s="5">
        <v>1.0</v>
      </c>
      <c r="AD7" s="5">
        <v>1.0</v>
      </c>
      <c r="AE7" s="5">
        <v>1.0</v>
      </c>
      <c r="AF7" s="5">
        <v>4.0</v>
      </c>
      <c r="AG7" s="5">
        <v>3.0</v>
      </c>
      <c r="AH7" s="5">
        <v>5.0</v>
      </c>
      <c r="AI7" s="5">
        <v>1.0</v>
      </c>
      <c r="AJ7" s="5">
        <v>5.0</v>
      </c>
      <c r="AK7" s="5">
        <v>1.0</v>
      </c>
      <c r="AL7" s="5">
        <v>5.0</v>
      </c>
    </row>
    <row r="8" ht="22.5" customHeight="1">
      <c r="A8" s="4">
        <v>45909.44743180556</v>
      </c>
      <c r="B8" s="5" t="s">
        <v>38</v>
      </c>
      <c r="C8" s="5">
        <v>3.0</v>
      </c>
      <c r="D8" s="5">
        <v>3.0</v>
      </c>
      <c r="E8" s="5">
        <v>374.0</v>
      </c>
      <c r="F8" s="5">
        <v>65.0</v>
      </c>
      <c r="G8" s="5">
        <v>40.0</v>
      </c>
      <c r="H8" s="5">
        <v>80.0</v>
      </c>
      <c r="I8" s="5">
        <v>100.0</v>
      </c>
      <c r="J8" s="5">
        <v>60.0</v>
      </c>
      <c r="K8" s="5">
        <v>10.0</v>
      </c>
      <c r="L8" s="5">
        <v>4.0</v>
      </c>
      <c r="M8" s="5">
        <v>2.0</v>
      </c>
      <c r="N8" s="5">
        <v>2.0</v>
      </c>
      <c r="O8" s="5">
        <v>1.0</v>
      </c>
      <c r="P8" s="5">
        <v>3.0</v>
      </c>
      <c r="Q8" s="5">
        <v>1.0</v>
      </c>
      <c r="R8" s="5">
        <v>3.0</v>
      </c>
      <c r="S8" s="5">
        <v>2.0</v>
      </c>
      <c r="T8" s="5">
        <v>4.0</v>
      </c>
      <c r="U8" s="5">
        <v>4.0</v>
      </c>
      <c r="V8" s="5">
        <v>997.0</v>
      </c>
      <c r="W8" s="5">
        <v>90.0</v>
      </c>
      <c r="X8" s="5">
        <v>85.0</v>
      </c>
      <c r="Y8" s="5">
        <v>95.0</v>
      </c>
      <c r="Z8" s="5">
        <v>100.0</v>
      </c>
      <c r="AA8" s="5">
        <v>90.0</v>
      </c>
      <c r="AB8" s="5">
        <v>60.0</v>
      </c>
      <c r="AC8" s="5">
        <v>2.0</v>
      </c>
      <c r="AD8" s="5">
        <v>5.0</v>
      </c>
      <c r="AE8" s="5">
        <v>2.0</v>
      </c>
      <c r="AF8" s="5">
        <v>3.0</v>
      </c>
      <c r="AG8" s="5">
        <v>3.0</v>
      </c>
      <c r="AH8" s="5">
        <v>4.0</v>
      </c>
      <c r="AI8" s="5">
        <v>1.0</v>
      </c>
      <c r="AJ8" s="5">
        <v>4.0</v>
      </c>
      <c r="AK8" s="5">
        <v>3.0</v>
      </c>
      <c r="AL8" s="5">
        <v>4.0</v>
      </c>
    </row>
    <row r="9" ht="22.5" customHeight="1">
      <c r="A9" s="4">
        <v>45909.45507413194</v>
      </c>
      <c r="B9" s="5" t="s">
        <v>38</v>
      </c>
      <c r="C9" s="5">
        <v>4.0</v>
      </c>
      <c r="D9" s="5">
        <v>3.0</v>
      </c>
      <c r="E9" s="5">
        <v>854.0</v>
      </c>
      <c r="F9" s="5">
        <v>40.0</v>
      </c>
      <c r="G9" s="5">
        <v>45.0</v>
      </c>
      <c r="H9" s="5">
        <v>65.0</v>
      </c>
      <c r="I9" s="5">
        <v>75.0</v>
      </c>
      <c r="J9" s="5">
        <v>60.0</v>
      </c>
      <c r="K9" s="5">
        <v>20.0</v>
      </c>
      <c r="L9" s="5">
        <v>4.0</v>
      </c>
      <c r="M9" s="5">
        <v>2.0</v>
      </c>
      <c r="N9" s="5">
        <v>3.0</v>
      </c>
      <c r="O9" s="5">
        <v>3.0</v>
      </c>
      <c r="P9" s="5">
        <v>3.0</v>
      </c>
      <c r="Q9" s="5">
        <v>2.0</v>
      </c>
      <c r="R9" s="5">
        <v>4.0</v>
      </c>
      <c r="S9" s="5">
        <v>2.0</v>
      </c>
      <c r="T9" s="5">
        <v>4.0</v>
      </c>
      <c r="U9" s="5">
        <v>2.0</v>
      </c>
      <c r="V9" s="5">
        <v>1093.0</v>
      </c>
      <c r="W9" s="5">
        <v>70.0</v>
      </c>
      <c r="X9" s="5">
        <v>80.0</v>
      </c>
      <c r="Y9" s="5">
        <v>80.0</v>
      </c>
      <c r="Z9" s="5">
        <v>80.0</v>
      </c>
      <c r="AA9" s="5">
        <v>80.0</v>
      </c>
      <c r="AB9" s="5">
        <v>30.0</v>
      </c>
      <c r="AC9" s="5">
        <v>2.0</v>
      </c>
      <c r="AD9" s="5">
        <v>4.0</v>
      </c>
      <c r="AE9" s="5">
        <v>2.0</v>
      </c>
      <c r="AF9" s="5">
        <v>5.0</v>
      </c>
      <c r="AG9" s="5">
        <v>2.0</v>
      </c>
      <c r="AH9" s="5">
        <v>4.0</v>
      </c>
      <c r="AI9" s="5">
        <v>2.0</v>
      </c>
      <c r="AJ9" s="5">
        <v>2.0</v>
      </c>
      <c r="AK9" s="5">
        <v>3.0</v>
      </c>
      <c r="AL9" s="5">
        <v>4.0</v>
      </c>
    </row>
    <row r="10" ht="22.5" customHeight="1">
      <c r="A10" s="4">
        <v>45910.60790766204</v>
      </c>
      <c r="B10" s="5" t="s">
        <v>38</v>
      </c>
      <c r="C10" s="5">
        <v>3.0</v>
      </c>
      <c r="D10" s="5">
        <v>3.0</v>
      </c>
      <c r="E10" s="5">
        <v>463.0</v>
      </c>
      <c r="F10" s="5">
        <v>10.0</v>
      </c>
      <c r="G10" s="5">
        <v>0.0</v>
      </c>
      <c r="H10" s="5">
        <v>10.0</v>
      </c>
      <c r="I10" s="5">
        <v>100.0</v>
      </c>
      <c r="J10" s="5">
        <v>10.0</v>
      </c>
      <c r="K10" s="5">
        <v>0.0</v>
      </c>
      <c r="L10" s="5">
        <v>3.0</v>
      </c>
      <c r="M10" s="5">
        <v>1.0</v>
      </c>
      <c r="N10" s="5">
        <v>5.0</v>
      </c>
      <c r="O10" s="5">
        <v>1.0</v>
      </c>
      <c r="P10" s="5">
        <v>3.0</v>
      </c>
      <c r="Q10" s="5">
        <v>1.0</v>
      </c>
      <c r="R10" s="5">
        <v>4.0</v>
      </c>
      <c r="S10" s="5">
        <v>1.0</v>
      </c>
      <c r="T10" s="5">
        <v>5.0</v>
      </c>
      <c r="U10" s="5">
        <v>1.0</v>
      </c>
      <c r="V10" s="5">
        <v>607.0</v>
      </c>
      <c r="W10" s="5">
        <v>50.0</v>
      </c>
      <c r="X10" s="5">
        <v>0.0</v>
      </c>
      <c r="Y10" s="5">
        <v>10.0</v>
      </c>
      <c r="Z10" s="5">
        <v>100.0</v>
      </c>
      <c r="AA10" s="5">
        <v>50.0</v>
      </c>
      <c r="AB10" s="5">
        <v>30.0</v>
      </c>
      <c r="AC10" s="5">
        <v>2.0</v>
      </c>
      <c r="AD10" s="5">
        <v>5.0</v>
      </c>
      <c r="AE10" s="5">
        <v>1.0</v>
      </c>
      <c r="AF10" s="5">
        <v>3.0</v>
      </c>
      <c r="AG10" s="5">
        <v>1.0</v>
      </c>
      <c r="AH10" s="5">
        <v>2.0</v>
      </c>
      <c r="AI10" s="5">
        <v>1.0</v>
      </c>
      <c r="AJ10" s="5">
        <v>5.0</v>
      </c>
      <c r="AK10" s="5">
        <v>2.0</v>
      </c>
      <c r="AL10" s="5">
        <v>4.0</v>
      </c>
    </row>
    <row r="11" ht="22.5" customHeight="1">
      <c r="A11" s="4">
        <v>45910.6169544213</v>
      </c>
      <c r="B11" s="5" t="s">
        <v>38</v>
      </c>
      <c r="C11" s="5">
        <v>2.0</v>
      </c>
      <c r="D11" s="5">
        <v>1.0</v>
      </c>
      <c r="E11" s="5">
        <v>799.0</v>
      </c>
      <c r="F11" s="5">
        <v>85.0</v>
      </c>
      <c r="G11" s="5">
        <v>75.0</v>
      </c>
      <c r="H11" s="5">
        <v>85.0</v>
      </c>
      <c r="I11" s="5">
        <v>25.0</v>
      </c>
      <c r="J11" s="5">
        <v>75.0</v>
      </c>
      <c r="K11" s="5">
        <v>80.0</v>
      </c>
      <c r="L11" s="5">
        <v>4.0</v>
      </c>
      <c r="M11" s="5">
        <v>1.0</v>
      </c>
      <c r="N11" s="5">
        <v>5.0</v>
      </c>
      <c r="O11" s="5">
        <v>1.0</v>
      </c>
      <c r="P11" s="5">
        <v>4.0</v>
      </c>
      <c r="Q11" s="5">
        <v>1.0</v>
      </c>
      <c r="R11" s="5">
        <v>5.0</v>
      </c>
      <c r="S11" s="5">
        <v>1.0</v>
      </c>
      <c r="T11" s="5">
        <v>2.0</v>
      </c>
      <c r="U11" s="5">
        <v>1.0</v>
      </c>
      <c r="V11" s="5">
        <v>911.0</v>
      </c>
      <c r="W11" s="5">
        <v>95.0</v>
      </c>
      <c r="X11" s="5">
        <v>90.0</v>
      </c>
      <c r="Y11" s="5">
        <v>95.0</v>
      </c>
      <c r="Z11" s="5">
        <v>10.0</v>
      </c>
      <c r="AA11" s="5">
        <v>95.0</v>
      </c>
      <c r="AB11" s="5">
        <v>95.0</v>
      </c>
      <c r="AC11" s="5">
        <v>2.0</v>
      </c>
      <c r="AD11" s="5">
        <v>4.0</v>
      </c>
      <c r="AE11" s="5">
        <v>2.0</v>
      </c>
      <c r="AF11" s="5">
        <v>4.0</v>
      </c>
      <c r="AG11" s="5">
        <v>3.0</v>
      </c>
      <c r="AH11" s="5">
        <v>4.0</v>
      </c>
      <c r="AI11" s="5">
        <v>2.0</v>
      </c>
      <c r="AJ11" s="5">
        <v>3.0</v>
      </c>
      <c r="AK11" s="5">
        <v>2.0</v>
      </c>
      <c r="AL11" s="5">
        <v>2.0</v>
      </c>
    </row>
    <row r="12" ht="22.5" customHeight="1">
      <c r="A12" s="4">
        <v>45910.61704196759</v>
      </c>
      <c r="B12" s="5" t="s">
        <v>38</v>
      </c>
      <c r="C12" s="5">
        <v>3.0</v>
      </c>
      <c r="D12" s="5">
        <v>3.0</v>
      </c>
      <c r="E12" s="5">
        <v>656.0</v>
      </c>
      <c r="F12" s="5">
        <v>75.0</v>
      </c>
      <c r="G12" s="5">
        <v>25.0</v>
      </c>
      <c r="H12" s="5">
        <v>55.0</v>
      </c>
      <c r="I12" s="5">
        <v>70.0</v>
      </c>
      <c r="J12" s="5">
        <v>75.0</v>
      </c>
      <c r="K12" s="5">
        <v>40.0</v>
      </c>
      <c r="L12" s="5">
        <v>3.0</v>
      </c>
      <c r="M12" s="5">
        <v>4.0</v>
      </c>
      <c r="N12" s="5">
        <v>2.0</v>
      </c>
      <c r="O12" s="5">
        <v>5.0</v>
      </c>
      <c r="P12" s="5">
        <v>3.0</v>
      </c>
      <c r="Q12" s="5">
        <v>2.0</v>
      </c>
      <c r="R12" s="5">
        <v>1.0</v>
      </c>
      <c r="S12" s="5">
        <v>5.0</v>
      </c>
      <c r="T12" s="5">
        <v>2.0</v>
      </c>
      <c r="U12" s="5">
        <v>5.0</v>
      </c>
      <c r="V12" s="5">
        <v>924.0</v>
      </c>
      <c r="W12" s="5">
        <v>80.0</v>
      </c>
      <c r="X12" s="5">
        <v>30.0</v>
      </c>
      <c r="Y12" s="5">
        <v>40.0</v>
      </c>
      <c r="Z12" s="5">
        <v>70.0</v>
      </c>
      <c r="AA12" s="5">
        <v>75.0</v>
      </c>
      <c r="AB12" s="5">
        <v>55.0</v>
      </c>
      <c r="AC12" s="5">
        <v>2.0</v>
      </c>
      <c r="AD12" s="5">
        <v>5.0</v>
      </c>
      <c r="AE12" s="5">
        <v>2.0</v>
      </c>
      <c r="AF12" s="5">
        <v>5.0</v>
      </c>
      <c r="AG12" s="5">
        <v>3.0</v>
      </c>
      <c r="AH12" s="5">
        <v>2.0</v>
      </c>
      <c r="AI12" s="5">
        <v>1.0</v>
      </c>
      <c r="AJ12" s="5">
        <v>4.0</v>
      </c>
      <c r="AK12" s="5">
        <v>2.0</v>
      </c>
      <c r="AL12" s="5">
        <v>4.0</v>
      </c>
    </row>
    <row r="13" ht="22.5" customHeight="1">
      <c r="A13" s="4">
        <v>45910.651498136576</v>
      </c>
      <c r="B13" s="5" t="s">
        <v>38</v>
      </c>
      <c r="C13" s="5">
        <v>2.0</v>
      </c>
      <c r="D13" s="5">
        <v>2.0</v>
      </c>
      <c r="E13" s="5">
        <v>422.0</v>
      </c>
      <c r="F13" s="5">
        <v>30.0</v>
      </c>
      <c r="G13" s="5">
        <v>10.0</v>
      </c>
      <c r="H13" s="5">
        <v>20.0</v>
      </c>
      <c r="I13" s="5">
        <v>70.0</v>
      </c>
      <c r="J13" s="5">
        <v>30.0</v>
      </c>
      <c r="K13" s="5">
        <v>20.0</v>
      </c>
      <c r="L13" s="5">
        <v>4.0</v>
      </c>
      <c r="M13" s="5">
        <v>2.0</v>
      </c>
      <c r="N13" s="5">
        <v>4.0</v>
      </c>
      <c r="O13" s="5">
        <v>4.0</v>
      </c>
      <c r="P13" s="5">
        <v>4.0</v>
      </c>
      <c r="Q13" s="5">
        <v>2.0</v>
      </c>
      <c r="R13" s="5">
        <v>4.0</v>
      </c>
      <c r="S13" s="5">
        <v>2.0</v>
      </c>
      <c r="T13" s="5">
        <v>4.0</v>
      </c>
      <c r="U13" s="5">
        <v>2.0</v>
      </c>
      <c r="V13" s="5">
        <v>940.0</v>
      </c>
      <c r="W13" s="5">
        <v>60.0</v>
      </c>
      <c r="X13" s="5">
        <v>20.0</v>
      </c>
      <c r="Y13" s="5">
        <v>40.0</v>
      </c>
      <c r="Z13" s="5">
        <v>70.0</v>
      </c>
      <c r="AA13" s="5">
        <v>55.0</v>
      </c>
      <c r="AB13" s="5">
        <v>40.0</v>
      </c>
      <c r="AC13" s="5">
        <v>4.0</v>
      </c>
      <c r="AD13" s="5">
        <v>2.0</v>
      </c>
      <c r="AE13" s="5">
        <v>2.0</v>
      </c>
      <c r="AF13" s="5">
        <v>4.0</v>
      </c>
      <c r="AG13" s="5">
        <v>4.0</v>
      </c>
      <c r="AH13" s="5">
        <v>3.0</v>
      </c>
      <c r="AI13" s="5">
        <v>3.0</v>
      </c>
      <c r="AJ13" s="5">
        <v>2.0</v>
      </c>
      <c r="AK13" s="5">
        <v>3.0</v>
      </c>
      <c r="AL13" s="5">
        <v>3.0</v>
      </c>
    </row>
    <row r="14" ht="22.5" customHeight="1">
      <c r="A14" s="4">
        <v>45910.65394377315</v>
      </c>
      <c r="B14" s="5" t="s">
        <v>38</v>
      </c>
      <c r="C14" s="5">
        <v>2.0</v>
      </c>
      <c r="D14" s="5">
        <v>2.0</v>
      </c>
      <c r="E14" s="5">
        <v>549.6</v>
      </c>
      <c r="F14" s="5">
        <v>65.0</v>
      </c>
      <c r="G14" s="5">
        <v>30.0</v>
      </c>
      <c r="H14" s="5">
        <v>10.0</v>
      </c>
      <c r="I14" s="5">
        <v>90.0</v>
      </c>
      <c r="J14" s="5">
        <v>70.0</v>
      </c>
      <c r="K14" s="5">
        <v>35.0</v>
      </c>
      <c r="L14" s="5">
        <v>3.0</v>
      </c>
      <c r="M14" s="5">
        <v>2.0</v>
      </c>
      <c r="N14" s="5">
        <v>4.0</v>
      </c>
      <c r="O14" s="5">
        <v>3.0</v>
      </c>
      <c r="P14" s="5">
        <v>3.0</v>
      </c>
      <c r="Q14" s="5">
        <v>3.0</v>
      </c>
      <c r="R14" s="5">
        <v>4.0</v>
      </c>
      <c r="S14" s="5">
        <v>2.0</v>
      </c>
      <c r="T14" s="5">
        <v>2.0</v>
      </c>
      <c r="U14" s="5">
        <v>3.0</v>
      </c>
      <c r="V14" s="5">
        <v>975.0</v>
      </c>
      <c r="W14" s="5">
        <v>70.0</v>
      </c>
      <c r="X14" s="5">
        <v>20.0</v>
      </c>
      <c r="Y14" s="5">
        <v>0.0</v>
      </c>
      <c r="Z14" s="5">
        <v>80.0</v>
      </c>
      <c r="AA14" s="5">
        <v>70.0</v>
      </c>
      <c r="AB14" s="5">
        <v>40.0</v>
      </c>
      <c r="AC14" s="5">
        <v>3.0</v>
      </c>
      <c r="AD14" s="5">
        <v>3.0</v>
      </c>
      <c r="AE14" s="5">
        <v>4.0</v>
      </c>
      <c r="AF14" s="5">
        <v>3.0</v>
      </c>
      <c r="AG14" s="5">
        <v>4.0</v>
      </c>
      <c r="AH14" s="5">
        <v>2.0</v>
      </c>
      <c r="AI14" s="5">
        <v>4.0</v>
      </c>
      <c r="AJ14" s="5">
        <v>4.0</v>
      </c>
      <c r="AK14" s="5">
        <v>2.0</v>
      </c>
      <c r="AL14" s="5">
        <v>4.0</v>
      </c>
    </row>
    <row r="15" ht="22.5" customHeight="1">
      <c r="A15" s="4">
        <v>45910.65457662037</v>
      </c>
      <c r="B15" s="5" t="s">
        <v>38</v>
      </c>
      <c r="C15" s="5">
        <v>3.0</v>
      </c>
      <c r="D15" s="5">
        <v>3.0</v>
      </c>
      <c r="E15" s="5">
        <v>514.0</v>
      </c>
      <c r="F15" s="5">
        <v>30.0</v>
      </c>
      <c r="G15" s="5">
        <v>15.0</v>
      </c>
      <c r="H15" s="5">
        <v>30.0</v>
      </c>
      <c r="I15" s="5">
        <v>100.0</v>
      </c>
      <c r="J15" s="5">
        <v>30.0</v>
      </c>
      <c r="K15" s="5">
        <v>10.0</v>
      </c>
      <c r="L15" s="5">
        <v>4.0</v>
      </c>
      <c r="M15" s="5">
        <v>2.0</v>
      </c>
      <c r="N15" s="5">
        <v>4.0</v>
      </c>
      <c r="O15" s="5">
        <v>4.0</v>
      </c>
      <c r="P15" s="5">
        <v>4.0</v>
      </c>
      <c r="Q15" s="5">
        <v>2.0</v>
      </c>
      <c r="R15" s="5">
        <v>4.0</v>
      </c>
      <c r="S15" s="5">
        <v>2.0</v>
      </c>
      <c r="T15" s="5">
        <v>4.0</v>
      </c>
      <c r="U15" s="5">
        <v>2.0</v>
      </c>
      <c r="V15" s="5">
        <v>1053.0</v>
      </c>
      <c r="W15" s="5">
        <v>60.0</v>
      </c>
      <c r="X15" s="5">
        <v>40.0</v>
      </c>
      <c r="Y15" s="5">
        <v>70.0</v>
      </c>
      <c r="Z15" s="5">
        <v>100.0</v>
      </c>
      <c r="AA15" s="5">
        <v>60.0</v>
      </c>
      <c r="AB15" s="5">
        <v>55.0</v>
      </c>
      <c r="AC15" s="5">
        <v>3.0</v>
      </c>
      <c r="AD15" s="5">
        <v>3.0</v>
      </c>
      <c r="AE15" s="5">
        <v>2.0</v>
      </c>
      <c r="AF15" s="5">
        <v>3.0</v>
      </c>
      <c r="AG15" s="5">
        <v>3.0</v>
      </c>
      <c r="AH15" s="5">
        <v>3.0</v>
      </c>
      <c r="AI15" s="5">
        <v>3.0</v>
      </c>
      <c r="AJ15" s="5">
        <v>2.0</v>
      </c>
      <c r="AK15" s="5">
        <v>3.0</v>
      </c>
      <c r="AL15" s="5">
        <v>2.0</v>
      </c>
    </row>
    <row r="16" ht="22.5" customHeight="1">
      <c r="A16" s="4">
        <v>45910.69569458334</v>
      </c>
      <c r="B16" s="5" t="s">
        <v>38</v>
      </c>
      <c r="C16" s="5">
        <v>3.0</v>
      </c>
      <c r="D16" s="5">
        <v>2.0</v>
      </c>
      <c r="E16" s="5">
        <v>617.0</v>
      </c>
      <c r="F16" s="5">
        <v>30.0</v>
      </c>
      <c r="G16" s="5">
        <v>20.0</v>
      </c>
      <c r="H16" s="5">
        <v>40.0</v>
      </c>
      <c r="I16" s="5">
        <v>90.0</v>
      </c>
      <c r="J16" s="5">
        <v>40.0</v>
      </c>
      <c r="K16" s="5">
        <v>30.0</v>
      </c>
      <c r="L16" s="5">
        <v>4.0</v>
      </c>
      <c r="M16" s="5">
        <v>2.0</v>
      </c>
      <c r="N16" s="5">
        <v>4.0</v>
      </c>
      <c r="O16" s="5">
        <v>1.0</v>
      </c>
      <c r="P16" s="5">
        <v>5.0</v>
      </c>
      <c r="Q16" s="5">
        <v>1.0</v>
      </c>
      <c r="R16" s="5">
        <v>5.0</v>
      </c>
      <c r="S16" s="5">
        <v>2.0</v>
      </c>
      <c r="T16" s="5">
        <v>4.0</v>
      </c>
      <c r="U16" s="5">
        <v>1.0</v>
      </c>
      <c r="V16" s="5">
        <v>1065.0</v>
      </c>
      <c r="W16" s="5">
        <v>50.0</v>
      </c>
      <c r="X16" s="5">
        <v>50.0</v>
      </c>
      <c r="Y16" s="5">
        <v>60.0</v>
      </c>
      <c r="Z16" s="5">
        <v>70.0</v>
      </c>
      <c r="AA16" s="5">
        <v>70.0</v>
      </c>
      <c r="AB16" s="5">
        <v>75.0</v>
      </c>
      <c r="AC16" s="5">
        <v>3.0</v>
      </c>
      <c r="AD16" s="5">
        <v>3.0</v>
      </c>
      <c r="AE16" s="5">
        <v>3.0</v>
      </c>
      <c r="AF16" s="5">
        <v>3.0</v>
      </c>
      <c r="AG16" s="5">
        <v>3.0</v>
      </c>
      <c r="AH16" s="5">
        <v>4.0</v>
      </c>
      <c r="AI16" s="5">
        <v>3.0</v>
      </c>
      <c r="AJ16" s="5">
        <v>3.0</v>
      </c>
      <c r="AK16" s="5">
        <v>3.0</v>
      </c>
      <c r="AL16" s="5">
        <v>3.0</v>
      </c>
    </row>
    <row r="17" ht="22.5" customHeight="1">
      <c r="A17" s="4">
        <v>45910.69706960648</v>
      </c>
      <c r="B17" s="5" t="s">
        <v>38</v>
      </c>
      <c r="C17" s="5">
        <v>2.0</v>
      </c>
      <c r="D17" s="5">
        <v>1.0</v>
      </c>
      <c r="E17" s="5">
        <v>670.0</v>
      </c>
      <c r="F17" s="5">
        <v>30.0</v>
      </c>
      <c r="G17" s="5">
        <v>30.0</v>
      </c>
      <c r="H17" s="5">
        <v>20.0</v>
      </c>
      <c r="I17" s="5">
        <v>80.0</v>
      </c>
      <c r="J17" s="5">
        <v>65.0</v>
      </c>
      <c r="K17" s="5">
        <v>10.0</v>
      </c>
      <c r="L17" s="5">
        <v>4.0</v>
      </c>
      <c r="M17" s="5">
        <v>1.0</v>
      </c>
      <c r="N17" s="5">
        <v>4.0</v>
      </c>
      <c r="O17" s="5">
        <v>3.0</v>
      </c>
      <c r="P17" s="5">
        <v>4.0</v>
      </c>
      <c r="Q17" s="5">
        <v>1.0</v>
      </c>
      <c r="R17" s="5">
        <v>4.0</v>
      </c>
      <c r="S17" s="5">
        <v>1.0</v>
      </c>
      <c r="T17" s="5">
        <v>4.0</v>
      </c>
      <c r="U17" s="5">
        <v>2.0</v>
      </c>
      <c r="V17" s="5">
        <v>1150.0</v>
      </c>
      <c r="W17" s="5">
        <v>80.0</v>
      </c>
      <c r="X17" s="5">
        <v>50.0</v>
      </c>
      <c r="Y17" s="5">
        <v>60.0</v>
      </c>
      <c r="Z17" s="5">
        <v>80.0</v>
      </c>
      <c r="AA17" s="5">
        <v>75.0</v>
      </c>
      <c r="AB17" s="5">
        <v>40.0</v>
      </c>
      <c r="AC17" s="5">
        <v>3.0</v>
      </c>
      <c r="AD17" s="5">
        <v>2.0</v>
      </c>
      <c r="AE17" s="5">
        <v>3.0</v>
      </c>
      <c r="AF17" s="5">
        <v>4.0</v>
      </c>
      <c r="AG17" s="5">
        <v>3.0</v>
      </c>
      <c r="AH17" s="5">
        <v>2.0</v>
      </c>
      <c r="AI17" s="5">
        <v>3.0</v>
      </c>
      <c r="AJ17" s="5">
        <v>3.0</v>
      </c>
      <c r="AK17" s="5">
        <v>3.0</v>
      </c>
      <c r="AL17" s="5">
        <v>2.0</v>
      </c>
    </row>
    <row r="18" ht="22.5" customHeight="1">
      <c r="A18" s="4">
        <v>45911.45852783565</v>
      </c>
      <c r="B18" s="5" t="s">
        <v>38</v>
      </c>
      <c r="C18" s="5">
        <v>4.0</v>
      </c>
      <c r="D18" s="5">
        <v>3.0</v>
      </c>
      <c r="E18" s="5">
        <v>326.0</v>
      </c>
      <c r="F18" s="5">
        <v>20.0</v>
      </c>
      <c r="G18" s="5">
        <v>20.0</v>
      </c>
      <c r="H18" s="5">
        <v>30.0</v>
      </c>
      <c r="I18" s="5">
        <v>100.0</v>
      </c>
      <c r="J18" s="5">
        <v>30.0</v>
      </c>
      <c r="K18" s="5">
        <v>20.0</v>
      </c>
      <c r="L18" s="5">
        <v>4.0</v>
      </c>
      <c r="M18" s="5">
        <v>1.0</v>
      </c>
      <c r="N18" s="5">
        <v>4.0</v>
      </c>
      <c r="O18" s="5">
        <v>2.0</v>
      </c>
      <c r="P18" s="5">
        <v>4.0</v>
      </c>
      <c r="Q18" s="5">
        <v>1.0</v>
      </c>
      <c r="R18" s="5">
        <v>4.0</v>
      </c>
      <c r="S18" s="5">
        <v>2.0</v>
      </c>
      <c r="T18" s="5">
        <v>5.0</v>
      </c>
      <c r="U18" s="5">
        <v>2.0</v>
      </c>
      <c r="V18" s="5">
        <v>698.0</v>
      </c>
      <c r="W18" s="5">
        <v>70.0</v>
      </c>
      <c r="X18" s="5">
        <v>40.0</v>
      </c>
      <c r="Y18" s="5">
        <v>50.0</v>
      </c>
      <c r="Z18" s="5">
        <v>80.0</v>
      </c>
      <c r="AA18" s="5">
        <v>70.0</v>
      </c>
      <c r="AB18" s="5">
        <v>50.0</v>
      </c>
      <c r="AC18" s="5">
        <v>3.0</v>
      </c>
      <c r="AD18" s="5">
        <v>3.0</v>
      </c>
      <c r="AE18" s="5">
        <v>2.0</v>
      </c>
      <c r="AF18" s="5">
        <v>2.0</v>
      </c>
      <c r="AG18" s="5">
        <v>2.0</v>
      </c>
      <c r="AH18" s="5">
        <v>3.0</v>
      </c>
      <c r="AI18" s="5">
        <v>2.0</v>
      </c>
      <c r="AJ18" s="5">
        <v>4.0</v>
      </c>
      <c r="AK18" s="5">
        <v>3.0</v>
      </c>
      <c r="AL18" s="5">
        <v>3.0</v>
      </c>
    </row>
    <row r="19" ht="22.5" customHeight="1">
      <c r="A19" s="4">
        <v>45911.462022685184</v>
      </c>
      <c r="B19" s="5" t="s">
        <v>38</v>
      </c>
      <c r="C19" s="5">
        <v>4.0</v>
      </c>
      <c r="D19" s="5">
        <v>3.0</v>
      </c>
      <c r="E19" s="5">
        <v>293.0</v>
      </c>
      <c r="F19" s="5">
        <v>30.0</v>
      </c>
      <c r="G19" s="5">
        <v>40.0</v>
      </c>
      <c r="H19" s="5">
        <v>30.0</v>
      </c>
      <c r="I19" s="5">
        <v>100.0</v>
      </c>
      <c r="J19" s="5">
        <v>50.0</v>
      </c>
      <c r="K19" s="5">
        <v>10.0</v>
      </c>
      <c r="L19" s="5">
        <v>5.0</v>
      </c>
      <c r="M19" s="5">
        <v>2.0</v>
      </c>
      <c r="N19" s="5">
        <v>4.0</v>
      </c>
      <c r="O19" s="5">
        <v>1.0</v>
      </c>
      <c r="P19" s="5">
        <v>4.0</v>
      </c>
      <c r="Q19" s="5">
        <v>1.0</v>
      </c>
      <c r="R19" s="5">
        <v>5.0</v>
      </c>
      <c r="S19" s="5">
        <v>1.0</v>
      </c>
      <c r="T19" s="5">
        <v>5.0</v>
      </c>
      <c r="U19" s="5">
        <v>1.0</v>
      </c>
      <c r="V19" s="5">
        <v>655.0</v>
      </c>
      <c r="W19" s="5">
        <v>60.0</v>
      </c>
      <c r="X19" s="5">
        <v>70.0</v>
      </c>
      <c r="Y19" s="5">
        <v>80.0</v>
      </c>
      <c r="Z19" s="5">
        <v>70.0</v>
      </c>
      <c r="AA19" s="5">
        <v>70.0</v>
      </c>
      <c r="AB19" s="5">
        <v>50.0</v>
      </c>
      <c r="AC19" s="5">
        <v>2.0</v>
      </c>
      <c r="AD19" s="5">
        <v>3.0</v>
      </c>
      <c r="AE19" s="5">
        <v>2.0</v>
      </c>
      <c r="AF19" s="5">
        <v>2.0</v>
      </c>
      <c r="AG19" s="5">
        <v>2.0</v>
      </c>
      <c r="AH19" s="5">
        <v>2.0</v>
      </c>
      <c r="AI19" s="5">
        <v>1.0</v>
      </c>
      <c r="AJ19" s="5">
        <v>4.0</v>
      </c>
      <c r="AK19" s="5">
        <v>2.0</v>
      </c>
      <c r="AL19" s="5">
        <v>4.0</v>
      </c>
    </row>
    <row r="20" ht="22.5" customHeight="1">
      <c r="A20" s="4">
        <v>45911.464082997685</v>
      </c>
      <c r="B20" s="5" t="s">
        <v>38</v>
      </c>
      <c r="C20" s="5">
        <v>5.0</v>
      </c>
      <c r="D20" s="5">
        <v>4.0</v>
      </c>
      <c r="E20" s="5">
        <v>533.0</v>
      </c>
      <c r="F20" s="5">
        <v>60.0</v>
      </c>
      <c r="G20" s="5">
        <v>20.0</v>
      </c>
      <c r="H20" s="5">
        <v>50.0</v>
      </c>
      <c r="I20" s="5">
        <v>90.0</v>
      </c>
      <c r="J20" s="5">
        <v>60.0</v>
      </c>
      <c r="K20" s="5">
        <v>15.0</v>
      </c>
      <c r="L20" s="5">
        <v>5.0</v>
      </c>
      <c r="M20" s="5">
        <v>2.0</v>
      </c>
      <c r="N20" s="5">
        <v>4.0</v>
      </c>
      <c r="O20" s="5">
        <v>2.0</v>
      </c>
      <c r="P20" s="5">
        <v>5.0</v>
      </c>
      <c r="Q20" s="5">
        <v>1.0</v>
      </c>
      <c r="R20" s="5">
        <v>4.0</v>
      </c>
      <c r="S20" s="5">
        <v>1.0</v>
      </c>
      <c r="T20" s="5">
        <v>4.0</v>
      </c>
      <c r="U20" s="5">
        <v>2.0</v>
      </c>
      <c r="V20" s="5">
        <v>828.0</v>
      </c>
      <c r="W20" s="5">
        <v>80.0</v>
      </c>
      <c r="X20" s="5">
        <v>30.0</v>
      </c>
      <c r="Y20" s="5">
        <v>60.0</v>
      </c>
      <c r="Z20" s="5">
        <v>70.0</v>
      </c>
      <c r="AA20" s="5">
        <v>80.0</v>
      </c>
      <c r="AB20" s="5">
        <v>60.0</v>
      </c>
      <c r="AC20" s="5">
        <v>3.0</v>
      </c>
      <c r="AD20" s="5">
        <v>4.0</v>
      </c>
      <c r="AE20" s="5">
        <v>1.0</v>
      </c>
      <c r="AF20" s="5">
        <v>3.0</v>
      </c>
      <c r="AG20" s="5">
        <v>3.0</v>
      </c>
      <c r="AH20" s="5">
        <v>2.0</v>
      </c>
      <c r="AI20" s="5">
        <v>2.0</v>
      </c>
      <c r="AJ20" s="5">
        <v>3.0</v>
      </c>
      <c r="AK20" s="5">
        <v>2.0</v>
      </c>
      <c r="AL20" s="5">
        <v>3.0</v>
      </c>
    </row>
    <row r="32">
      <c r="AI32" s="6"/>
      <c r="AJ32" s="6"/>
      <c r="AK32" s="6"/>
      <c r="AL32" s="6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</cols>
  <sheetData>
    <row r="1">
      <c r="A1" s="7" t="s">
        <v>39</v>
      </c>
    </row>
    <row r="2">
      <c r="B2" s="8" t="s">
        <v>40</v>
      </c>
      <c r="S2" s="8" t="s">
        <v>41</v>
      </c>
    </row>
    <row r="3" ht="22.5" customHeight="1">
      <c r="A3" s="7" t="s">
        <v>42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A3" s="1" t="s">
        <v>12</v>
      </c>
      <c r="AB3" s="1" t="s">
        <v>13</v>
      </c>
      <c r="AC3" s="1" t="s">
        <v>14</v>
      </c>
      <c r="AD3" s="1" t="s">
        <v>15</v>
      </c>
      <c r="AE3" s="1" t="s">
        <v>16</v>
      </c>
      <c r="AF3" s="1" t="s">
        <v>17</v>
      </c>
      <c r="AG3" s="1" t="s">
        <v>18</v>
      </c>
      <c r="AH3" s="1" t="s">
        <v>19</v>
      </c>
      <c r="AI3" s="1" t="s">
        <v>20</v>
      </c>
    </row>
    <row r="4">
      <c r="A4" s="7" t="s">
        <v>43</v>
      </c>
      <c r="B4" s="9">
        <v>541.0</v>
      </c>
      <c r="C4" s="9">
        <v>65.0</v>
      </c>
      <c r="D4" s="9">
        <v>10.0</v>
      </c>
      <c r="E4" s="9">
        <v>10.0</v>
      </c>
      <c r="F4" s="9">
        <v>75.0</v>
      </c>
      <c r="G4" s="9">
        <v>30.0</v>
      </c>
      <c r="H4" s="9">
        <v>0.0</v>
      </c>
      <c r="I4" s="9">
        <v>4.0</v>
      </c>
      <c r="J4" s="9">
        <v>2.0</v>
      </c>
      <c r="K4" s="9">
        <v>3.0</v>
      </c>
      <c r="L4" s="9">
        <v>4.0</v>
      </c>
      <c r="M4" s="9">
        <v>4.0</v>
      </c>
      <c r="N4" s="9">
        <v>2.0</v>
      </c>
      <c r="O4" s="9">
        <v>4.0</v>
      </c>
      <c r="P4" s="9">
        <v>2.0</v>
      </c>
      <c r="Q4" s="9">
        <v>5.0</v>
      </c>
      <c r="R4" s="9">
        <v>3.0</v>
      </c>
      <c r="S4" s="9">
        <v>796.0</v>
      </c>
      <c r="T4" s="9">
        <v>80.0</v>
      </c>
      <c r="U4" s="9">
        <v>20.0</v>
      </c>
      <c r="V4" s="9">
        <v>10.0</v>
      </c>
      <c r="W4" s="9">
        <v>85.0</v>
      </c>
      <c r="X4" s="9">
        <v>50.0</v>
      </c>
      <c r="Y4" s="9">
        <v>10.0</v>
      </c>
      <c r="Z4" s="9">
        <v>1.0</v>
      </c>
      <c r="AA4" s="9">
        <v>5.0</v>
      </c>
      <c r="AB4" s="9">
        <v>2.0</v>
      </c>
      <c r="AC4" s="9">
        <v>5.0</v>
      </c>
      <c r="AD4" s="9">
        <v>2.0</v>
      </c>
      <c r="AE4" s="9">
        <v>1.0</v>
      </c>
      <c r="AF4" s="9">
        <v>2.0</v>
      </c>
      <c r="AG4" s="9">
        <v>4.0</v>
      </c>
      <c r="AH4" s="9">
        <v>3.0</v>
      </c>
      <c r="AI4" s="9">
        <v>5.0</v>
      </c>
    </row>
    <row r="5">
      <c r="A5" s="7" t="s">
        <v>43</v>
      </c>
      <c r="B5" s="9">
        <v>818.0</v>
      </c>
      <c r="C5" s="9">
        <v>70.0</v>
      </c>
      <c r="D5" s="9">
        <v>20.0</v>
      </c>
      <c r="E5" s="9">
        <v>40.0</v>
      </c>
      <c r="F5" s="9">
        <v>75.0</v>
      </c>
      <c r="G5" s="9">
        <v>80.0</v>
      </c>
      <c r="H5" s="9">
        <v>25.0</v>
      </c>
      <c r="I5" s="9">
        <v>3.0</v>
      </c>
      <c r="J5" s="9">
        <v>2.0</v>
      </c>
      <c r="K5" s="9">
        <v>3.0</v>
      </c>
      <c r="L5" s="9">
        <v>4.0</v>
      </c>
      <c r="M5" s="9">
        <v>4.0</v>
      </c>
      <c r="N5" s="9">
        <v>2.0</v>
      </c>
      <c r="O5" s="9">
        <v>1.0</v>
      </c>
      <c r="P5" s="9">
        <v>2.0</v>
      </c>
      <c r="Q5" s="9">
        <v>4.0</v>
      </c>
      <c r="R5" s="9">
        <v>3.0</v>
      </c>
      <c r="S5" s="9">
        <v>1200.0</v>
      </c>
      <c r="T5" s="9">
        <v>85.0</v>
      </c>
      <c r="U5" s="9">
        <v>30.0</v>
      </c>
      <c r="V5" s="9">
        <v>40.0</v>
      </c>
      <c r="W5" s="9">
        <v>90.0</v>
      </c>
      <c r="X5" s="9">
        <v>95.0</v>
      </c>
      <c r="Y5" s="9">
        <v>30.0</v>
      </c>
      <c r="Z5" s="9">
        <v>2.0</v>
      </c>
      <c r="AA5" s="9">
        <v>5.0</v>
      </c>
      <c r="AB5" s="9">
        <v>2.0</v>
      </c>
      <c r="AC5" s="9">
        <v>5.0</v>
      </c>
      <c r="AD5" s="9">
        <v>2.0</v>
      </c>
      <c r="AE5" s="9">
        <v>5.0</v>
      </c>
      <c r="AF5" s="9">
        <v>1.0</v>
      </c>
      <c r="AG5" s="9">
        <v>4.0</v>
      </c>
      <c r="AH5" s="9">
        <v>2.0</v>
      </c>
      <c r="AI5" s="9">
        <v>5.0</v>
      </c>
    </row>
    <row r="6">
      <c r="A6" s="7" t="s">
        <v>44</v>
      </c>
      <c r="B6" s="9">
        <v>407.0</v>
      </c>
      <c r="C6" s="9">
        <v>40.0</v>
      </c>
      <c r="D6" s="9">
        <v>10.0</v>
      </c>
      <c r="E6" s="9">
        <v>10.0</v>
      </c>
      <c r="F6" s="9">
        <v>60.0</v>
      </c>
      <c r="G6" s="9">
        <v>20.0</v>
      </c>
      <c r="H6" s="9">
        <v>10.0</v>
      </c>
      <c r="I6" s="9">
        <v>3.0</v>
      </c>
      <c r="J6" s="9">
        <v>2.0</v>
      </c>
      <c r="K6" s="9">
        <v>3.0</v>
      </c>
      <c r="L6" s="9">
        <v>2.0</v>
      </c>
      <c r="M6" s="9">
        <v>3.0</v>
      </c>
      <c r="N6" s="9">
        <v>2.0</v>
      </c>
      <c r="O6" s="9">
        <v>3.0</v>
      </c>
      <c r="P6" s="9">
        <v>2.0</v>
      </c>
      <c r="Q6" s="9">
        <v>3.0</v>
      </c>
      <c r="R6" s="9">
        <v>2.0</v>
      </c>
      <c r="S6" s="9">
        <v>950.0</v>
      </c>
      <c r="T6" s="9">
        <v>75.0</v>
      </c>
      <c r="U6" s="9">
        <v>10.0</v>
      </c>
      <c r="V6" s="9">
        <v>10.0</v>
      </c>
      <c r="W6" s="9">
        <v>70.0</v>
      </c>
      <c r="X6" s="9">
        <v>70.0</v>
      </c>
      <c r="Y6" s="9">
        <v>10.0</v>
      </c>
      <c r="Z6" s="9">
        <v>3.0</v>
      </c>
      <c r="AA6" s="9">
        <v>2.0</v>
      </c>
      <c r="AB6" s="9">
        <v>2.0</v>
      </c>
      <c r="AC6" s="9">
        <v>3.0</v>
      </c>
      <c r="AD6" s="9">
        <v>2.0</v>
      </c>
      <c r="AE6" s="9">
        <v>2.0</v>
      </c>
      <c r="AF6" s="9">
        <v>2.0</v>
      </c>
      <c r="AG6" s="9">
        <v>3.0</v>
      </c>
      <c r="AH6" s="9">
        <v>2.0</v>
      </c>
      <c r="AI6" s="9">
        <v>4.0</v>
      </c>
    </row>
    <row r="7">
      <c r="A7" s="7" t="s">
        <v>44</v>
      </c>
      <c r="B7" s="9">
        <v>701.0</v>
      </c>
      <c r="C7" s="9">
        <v>0.0</v>
      </c>
      <c r="D7" s="9">
        <v>0.0</v>
      </c>
      <c r="E7" s="9">
        <v>0.0</v>
      </c>
      <c r="F7" s="9">
        <v>100.0</v>
      </c>
      <c r="G7" s="9">
        <v>10.0</v>
      </c>
      <c r="H7" s="9">
        <v>0.0</v>
      </c>
      <c r="I7" s="9">
        <v>4.0</v>
      </c>
      <c r="J7" s="9">
        <v>1.0</v>
      </c>
      <c r="K7" s="9">
        <v>5.0</v>
      </c>
      <c r="L7" s="9">
        <v>1.0</v>
      </c>
      <c r="M7" s="9">
        <v>4.0</v>
      </c>
      <c r="N7" s="9">
        <v>1.0</v>
      </c>
      <c r="O7" s="9">
        <v>5.0</v>
      </c>
      <c r="P7" s="9">
        <v>1.0</v>
      </c>
      <c r="Q7" s="9">
        <v>4.0</v>
      </c>
      <c r="R7" s="9">
        <v>3.0</v>
      </c>
      <c r="S7" s="9">
        <v>1417.0</v>
      </c>
      <c r="T7" s="9">
        <v>20.0</v>
      </c>
      <c r="U7" s="9">
        <v>0.0</v>
      </c>
      <c r="V7" s="9">
        <v>0.0</v>
      </c>
      <c r="W7" s="9">
        <v>100.0</v>
      </c>
      <c r="X7" s="9">
        <v>20.0</v>
      </c>
      <c r="Y7" s="9">
        <v>20.0</v>
      </c>
      <c r="Z7" s="9">
        <v>3.0</v>
      </c>
      <c r="AA7" s="9">
        <v>4.0</v>
      </c>
      <c r="AB7" s="9">
        <v>2.0</v>
      </c>
      <c r="AC7" s="9">
        <v>4.0</v>
      </c>
      <c r="AD7" s="9">
        <v>2.0</v>
      </c>
      <c r="AE7" s="9">
        <v>3.0</v>
      </c>
      <c r="AF7" s="9">
        <v>1.0</v>
      </c>
      <c r="AG7" s="9">
        <v>5.0</v>
      </c>
      <c r="AH7" s="9">
        <v>2.0</v>
      </c>
      <c r="AI7" s="9">
        <v>5.0</v>
      </c>
    </row>
    <row r="8">
      <c r="A8" s="7" t="s">
        <v>44</v>
      </c>
      <c r="B8" s="9">
        <v>801.0</v>
      </c>
      <c r="C8" s="9">
        <v>60.0</v>
      </c>
      <c r="D8" s="9">
        <v>30.0</v>
      </c>
      <c r="E8" s="9">
        <v>30.0</v>
      </c>
      <c r="F8" s="9">
        <v>60.0</v>
      </c>
      <c r="G8" s="9">
        <v>40.0</v>
      </c>
      <c r="H8" s="9">
        <v>30.0</v>
      </c>
      <c r="I8" s="9">
        <v>3.0</v>
      </c>
      <c r="J8" s="9">
        <v>2.0</v>
      </c>
      <c r="K8" s="9">
        <v>4.0</v>
      </c>
      <c r="L8" s="9">
        <v>3.0</v>
      </c>
      <c r="M8" s="9">
        <v>4.0</v>
      </c>
      <c r="N8" s="9">
        <v>2.0</v>
      </c>
      <c r="O8" s="9">
        <v>4.0</v>
      </c>
      <c r="P8" s="9">
        <v>2.0</v>
      </c>
      <c r="Q8" s="9">
        <v>3.0</v>
      </c>
      <c r="R8" s="9">
        <v>2.0</v>
      </c>
      <c r="S8" s="9">
        <v>1529.0</v>
      </c>
      <c r="T8" s="9">
        <v>80.0</v>
      </c>
      <c r="U8" s="9">
        <v>60.0</v>
      </c>
      <c r="V8" s="9">
        <v>40.0</v>
      </c>
      <c r="W8" s="9">
        <v>50.0</v>
      </c>
      <c r="X8" s="9">
        <v>70.0</v>
      </c>
      <c r="Y8" s="9">
        <v>80.0</v>
      </c>
      <c r="Z8" s="9">
        <v>2.0</v>
      </c>
      <c r="AA8" s="9">
        <v>4.0</v>
      </c>
      <c r="AB8" s="9">
        <v>2.0</v>
      </c>
      <c r="AC8" s="9">
        <v>5.0</v>
      </c>
      <c r="AD8" s="9">
        <v>2.0</v>
      </c>
      <c r="AE8" s="9">
        <v>5.0</v>
      </c>
      <c r="AF8" s="9">
        <v>2.0</v>
      </c>
      <c r="AG8" s="9">
        <v>4.0</v>
      </c>
      <c r="AH8" s="9">
        <v>1.0</v>
      </c>
      <c r="AI8" s="9">
        <v>4.0</v>
      </c>
    </row>
    <row r="9">
      <c r="A9" s="7" t="s">
        <v>43</v>
      </c>
      <c r="B9" s="7">
        <v>378.0</v>
      </c>
      <c r="C9" s="7">
        <v>20.0</v>
      </c>
      <c r="D9" s="7">
        <v>20.0</v>
      </c>
      <c r="E9" s="7">
        <v>10.0</v>
      </c>
      <c r="F9" s="7">
        <v>90.0</v>
      </c>
      <c r="G9" s="7">
        <v>20.0</v>
      </c>
      <c r="H9" s="7">
        <v>0.0</v>
      </c>
      <c r="I9" s="7">
        <v>5.0</v>
      </c>
      <c r="J9" s="7">
        <v>1.0</v>
      </c>
      <c r="K9" s="7">
        <v>5.0</v>
      </c>
      <c r="L9" s="7">
        <v>2.0</v>
      </c>
      <c r="M9" s="7">
        <v>5.0</v>
      </c>
      <c r="N9" s="7">
        <v>1.0</v>
      </c>
      <c r="O9" s="7">
        <v>5.0</v>
      </c>
      <c r="P9" s="7">
        <v>1.0</v>
      </c>
      <c r="Q9" s="7">
        <v>5.0</v>
      </c>
      <c r="R9" s="7">
        <v>1.0</v>
      </c>
      <c r="S9" s="7">
        <v>697.0</v>
      </c>
      <c r="T9" s="7">
        <v>80.0</v>
      </c>
      <c r="U9" s="7">
        <v>20.0</v>
      </c>
      <c r="V9" s="7">
        <v>90.0</v>
      </c>
      <c r="W9" s="7">
        <v>80.0</v>
      </c>
      <c r="X9" s="7">
        <v>80.0</v>
      </c>
      <c r="Y9" s="7">
        <v>60.0</v>
      </c>
      <c r="Z9" s="7">
        <v>1.0</v>
      </c>
      <c r="AA9" s="7">
        <v>1.0</v>
      </c>
      <c r="AB9" s="7">
        <v>1.0</v>
      </c>
      <c r="AC9" s="7">
        <v>4.0</v>
      </c>
      <c r="AD9" s="7">
        <v>3.0</v>
      </c>
      <c r="AE9" s="7">
        <v>5.0</v>
      </c>
      <c r="AF9" s="7">
        <v>1.0</v>
      </c>
      <c r="AG9" s="7">
        <v>5.0</v>
      </c>
      <c r="AH9" s="7">
        <v>1.0</v>
      </c>
      <c r="AI9" s="7">
        <v>5.0</v>
      </c>
    </row>
    <row r="10">
      <c r="A10" s="7" t="s">
        <v>43</v>
      </c>
      <c r="B10" s="7">
        <v>374.0</v>
      </c>
      <c r="C10" s="7">
        <v>65.0</v>
      </c>
      <c r="D10" s="7">
        <v>40.0</v>
      </c>
      <c r="E10" s="7">
        <v>80.0</v>
      </c>
      <c r="F10" s="7">
        <v>100.0</v>
      </c>
      <c r="G10" s="7">
        <v>60.0</v>
      </c>
      <c r="H10" s="7">
        <v>10.0</v>
      </c>
      <c r="I10" s="7">
        <v>4.0</v>
      </c>
      <c r="J10" s="7">
        <v>2.0</v>
      </c>
      <c r="K10" s="7">
        <v>2.0</v>
      </c>
      <c r="L10" s="7">
        <v>1.0</v>
      </c>
      <c r="M10" s="7">
        <v>3.0</v>
      </c>
      <c r="N10" s="7">
        <v>1.0</v>
      </c>
      <c r="O10" s="7">
        <v>3.0</v>
      </c>
      <c r="P10" s="7">
        <v>2.0</v>
      </c>
      <c r="Q10" s="7">
        <v>4.0</v>
      </c>
      <c r="R10" s="7">
        <v>4.0</v>
      </c>
      <c r="S10" s="7">
        <v>997.0</v>
      </c>
      <c r="T10" s="7">
        <v>90.0</v>
      </c>
      <c r="U10" s="7">
        <v>85.0</v>
      </c>
      <c r="V10" s="7">
        <v>95.0</v>
      </c>
      <c r="W10" s="7">
        <v>100.0</v>
      </c>
      <c r="X10" s="7">
        <v>90.0</v>
      </c>
      <c r="Y10" s="7">
        <v>60.0</v>
      </c>
      <c r="Z10" s="7">
        <v>2.0</v>
      </c>
      <c r="AA10" s="7">
        <v>5.0</v>
      </c>
      <c r="AB10" s="7">
        <v>2.0</v>
      </c>
      <c r="AC10" s="7">
        <v>3.0</v>
      </c>
      <c r="AD10" s="7">
        <v>3.0</v>
      </c>
      <c r="AE10" s="7">
        <v>4.0</v>
      </c>
      <c r="AF10" s="7">
        <v>1.0</v>
      </c>
      <c r="AG10" s="7">
        <v>4.0</v>
      </c>
      <c r="AH10" s="7">
        <v>3.0</v>
      </c>
      <c r="AI10" s="7">
        <v>4.0</v>
      </c>
    </row>
    <row r="11">
      <c r="A11" s="7" t="s">
        <v>43</v>
      </c>
      <c r="B11" s="7">
        <v>854.0</v>
      </c>
      <c r="C11" s="7">
        <v>40.0</v>
      </c>
      <c r="D11" s="7">
        <v>45.0</v>
      </c>
      <c r="E11" s="7">
        <v>65.0</v>
      </c>
      <c r="F11" s="7">
        <v>75.0</v>
      </c>
      <c r="G11" s="7">
        <v>60.0</v>
      </c>
      <c r="H11" s="7">
        <v>20.0</v>
      </c>
      <c r="I11" s="7">
        <v>4.0</v>
      </c>
      <c r="J11" s="7">
        <v>2.0</v>
      </c>
      <c r="K11" s="7">
        <v>3.0</v>
      </c>
      <c r="L11" s="7">
        <v>3.0</v>
      </c>
      <c r="M11" s="7">
        <v>3.0</v>
      </c>
      <c r="N11" s="7">
        <v>2.0</v>
      </c>
      <c r="O11" s="7">
        <v>4.0</v>
      </c>
      <c r="P11" s="7">
        <v>2.0</v>
      </c>
      <c r="Q11" s="7">
        <v>4.0</v>
      </c>
      <c r="R11" s="7">
        <v>2.0</v>
      </c>
      <c r="S11" s="7">
        <v>1093.0</v>
      </c>
      <c r="T11" s="7">
        <v>70.0</v>
      </c>
      <c r="U11" s="7">
        <v>80.0</v>
      </c>
      <c r="V11" s="7">
        <v>80.0</v>
      </c>
      <c r="W11" s="7">
        <v>80.0</v>
      </c>
      <c r="X11" s="7">
        <v>80.0</v>
      </c>
      <c r="Y11" s="7">
        <v>30.0</v>
      </c>
      <c r="Z11" s="7">
        <v>2.0</v>
      </c>
      <c r="AA11" s="7">
        <v>4.0</v>
      </c>
      <c r="AB11" s="7">
        <v>2.0</v>
      </c>
      <c r="AC11" s="7">
        <v>5.0</v>
      </c>
      <c r="AD11" s="7">
        <v>2.0</v>
      </c>
      <c r="AE11" s="7">
        <v>4.0</v>
      </c>
      <c r="AF11" s="7">
        <v>2.0</v>
      </c>
      <c r="AG11" s="7">
        <v>2.0</v>
      </c>
      <c r="AH11" s="7">
        <v>3.0</v>
      </c>
      <c r="AI11" s="7">
        <v>4.0</v>
      </c>
    </row>
    <row r="12">
      <c r="A12" s="7" t="s">
        <v>43</v>
      </c>
      <c r="B12" s="7">
        <v>463.0</v>
      </c>
      <c r="C12" s="7">
        <v>10.0</v>
      </c>
      <c r="D12" s="7">
        <v>0.0</v>
      </c>
      <c r="E12" s="7">
        <v>10.0</v>
      </c>
      <c r="F12" s="7">
        <v>100.0</v>
      </c>
      <c r="G12" s="7">
        <v>10.0</v>
      </c>
      <c r="H12" s="7">
        <v>0.0</v>
      </c>
      <c r="I12" s="7">
        <v>3.0</v>
      </c>
      <c r="J12" s="7">
        <v>1.0</v>
      </c>
      <c r="K12" s="7">
        <v>5.0</v>
      </c>
      <c r="L12" s="7">
        <v>1.0</v>
      </c>
      <c r="M12" s="7">
        <v>3.0</v>
      </c>
      <c r="N12" s="7">
        <v>1.0</v>
      </c>
      <c r="O12" s="7">
        <v>4.0</v>
      </c>
      <c r="P12" s="7">
        <v>1.0</v>
      </c>
      <c r="Q12" s="7">
        <v>5.0</v>
      </c>
      <c r="R12" s="7">
        <v>1.0</v>
      </c>
      <c r="S12" s="7">
        <v>607.0</v>
      </c>
      <c r="T12" s="7">
        <v>50.0</v>
      </c>
      <c r="U12" s="7">
        <v>0.0</v>
      </c>
      <c r="V12" s="7">
        <v>10.0</v>
      </c>
      <c r="W12" s="7">
        <v>100.0</v>
      </c>
      <c r="X12" s="7">
        <v>50.0</v>
      </c>
      <c r="Y12" s="7">
        <v>30.0</v>
      </c>
      <c r="Z12" s="7">
        <v>2.0</v>
      </c>
      <c r="AA12" s="7">
        <v>5.0</v>
      </c>
      <c r="AB12" s="7">
        <v>1.0</v>
      </c>
      <c r="AC12" s="7">
        <v>3.0</v>
      </c>
      <c r="AD12" s="7">
        <v>1.0</v>
      </c>
      <c r="AE12" s="7">
        <v>2.0</v>
      </c>
      <c r="AF12" s="7">
        <v>1.0</v>
      </c>
      <c r="AG12" s="7">
        <v>5.0</v>
      </c>
      <c r="AH12" s="7">
        <v>2.0</v>
      </c>
      <c r="AI12" s="7">
        <v>4.0</v>
      </c>
    </row>
    <row r="13">
      <c r="A13" s="7" t="s">
        <v>43</v>
      </c>
      <c r="B13" s="7">
        <v>799.0</v>
      </c>
      <c r="C13" s="7">
        <v>85.0</v>
      </c>
      <c r="D13" s="7">
        <v>75.0</v>
      </c>
      <c r="E13" s="7">
        <v>85.0</v>
      </c>
      <c r="F13" s="7">
        <v>25.0</v>
      </c>
      <c r="G13" s="7">
        <v>75.0</v>
      </c>
      <c r="H13" s="7">
        <v>80.0</v>
      </c>
      <c r="I13" s="7">
        <v>4.0</v>
      </c>
      <c r="J13" s="7">
        <v>1.0</v>
      </c>
      <c r="K13" s="7">
        <v>5.0</v>
      </c>
      <c r="L13" s="7">
        <v>1.0</v>
      </c>
      <c r="M13" s="7">
        <v>4.0</v>
      </c>
      <c r="N13" s="7">
        <v>1.0</v>
      </c>
      <c r="O13" s="7">
        <v>5.0</v>
      </c>
      <c r="P13" s="7">
        <v>1.0</v>
      </c>
      <c r="Q13" s="7">
        <v>2.0</v>
      </c>
      <c r="R13" s="7">
        <v>1.0</v>
      </c>
      <c r="S13" s="7">
        <v>911.0</v>
      </c>
      <c r="T13" s="7">
        <v>95.0</v>
      </c>
      <c r="U13" s="7">
        <v>90.0</v>
      </c>
      <c r="V13" s="7">
        <v>95.0</v>
      </c>
      <c r="W13" s="7">
        <v>10.0</v>
      </c>
      <c r="X13" s="7">
        <v>95.0</v>
      </c>
      <c r="Y13" s="7">
        <v>95.0</v>
      </c>
      <c r="Z13" s="7">
        <v>2.0</v>
      </c>
      <c r="AA13" s="7">
        <v>4.0</v>
      </c>
      <c r="AB13" s="7">
        <v>2.0</v>
      </c>
      <c r="AC13" s="7">
        <v>4.0</v>
      </c>
      <c r="AD13" s="7">
        <v>3.0</v>
      </c>
      <c r="AE13" s="7">
        <v>4.0</v>
      </c>
      <c r="AF13" s="7">
        <v>2.0</v>
      </c>
      <c r="AG13" s="7">
        <v>3.0</v>
      </c>
      <c r="AH13" s="7">
        <v>2.0</v>
      </c>
      <c r="AI13" s="7">
        <v>2.0</v>
      </c>
    </row>
    <row r="14">
      <c r="A14" s="7" t="s">
        <v>43</v>
      </c>
      <c r="B14" s="7">
        <v>656.0</v>
      </c>
      <c r="C14" s="7">
        <v>75.0</v>
      </c>
      <c r="D14" s="7">
        <v>25.0</v>
      </c>
      <c r="E14" s="7">
        <v>55.0</v>
      </c>
      <c r="F14" s="7">
        <v>70.0</v>
      </c>
      <c r="G14" s="7">
        <v>75.0</v>
      </c>
      <c r="H14" s="7">
        <v>40.0</v>
      </c>
      <c r="I14" s="7">
        <v>3.0</v>
      </c>
      <c r="J14" s="7">
        <v>4.0</v>
      </c>
      <c r="K14" s="7">
        <v>2.0</v>
      </c>
      <c r="L14" s="7">
        <v>5.0</v>
      </c>
      <c r="M14" s="7">
        <v>3.0</v>
      </c>
      <c r="N14" s="7">
        <v>2.0</v>
      </c>
      <c r="O14" s="7">
        <v>1.0</v>
      </c>
      <c r="P14" s="7">
        <v>5.0</v>
      </c>
      <c r="Q14" s="7">
        <v>2.0</v>
      </c>
      <c r="R14" s="7">
        <v>5.0</v>
      </c>
      <c r="S14" s="7">
        <v>924.0</v>
      </c>
      <c r="T14" s="7">
        <v>80.0</v>
      </c>
      <c r="U14" s="7">
        <v>30.0</v>
      </c>
      <c r="V14" s="7">
        <v>40.0</v>
      </c>
      <c r="W14" s="7">
        <v>70.0</v>
      </c>
      <c r="X14" s="7">
        <v>75.0</v>
      </c>
      <c r="Y14" s="7">
        <v>55.0</v>
      </c>
      <c r="Z14" s="7">
        <v>2.0</v>
      </c>
      <c r="AA14" s="7">
        <v>5.0</v>
      </c>
      <c r="AB14" s="7">
        <v>2.0</v>
      </c>
      <c r="AC14" s="7">
        <v>5.0</v>
      </c>
      <c r="AD14" s="7">
        <v>3.0</v>
      </c>
      <c r="AE14" s="7">
        <v>2.0</v>
      </c>
      <c r="AF14" s="7">
        <v>1.0</v>
      </c>
      <c r="AG14" s="7">
        <v>4.0</v>
      </c>
      <c r="AH14" s="7">
        <v>2.0</v>
      </c>
      <c r="AI14" s="7">
        <v>4.0</v>
      </c>
    </row>
    <row r="15">
      <c r="A15" s="7" t="s">
        <v>44</v>
      </c>
      <c r="B15" s="7">
        <v>422.0</v>
      </c>
      <c r="C15" s="7">
        <v>30.0</v>
      </c>
      <c r="D15" s="7">
        <v>10.0</v>
      </c>
      <c r="E15" s="7">
        <v>20.0</v>
      </c>
      <c r="F15" s="7">
        <v>70.0</v>
      </c>
      <c r="G15" s="7">
        <v>30.0</v>
      </c>
      <c r="H15" s="7">
        <v>20.0</v>
      </c>
      <c r="I15" s="7">
        <v>4.0</v>
      </c>
      <c r="J15" s="7">
        <v>2.0</v>
      </c>
      <c r="K15" s="7">
        <v>4.0</v>
      </c>
      <c r="L15" s="7">
        <v>4.0</v>
      </c>
      <c r="M15" s="7">
        <v>4.0</v>
      </c>
      <c r="N15" s="7">
        <v>2.0</v>
      </c>
      <c r="O15" s="7">
        <v>4.0</v>
      </c>
      <c r="P15" s="7">
        <v>2.0</v>
      </c>
      <c r="Q15" s="7">
        <v>4.0</v>
      </c>
      <c r="R15" s="7">
        <v>2.0</v>
      </c>
      <c r="S15" s="7">
        <v>940.0</v>
      </c>
      <c r="T15" s="7">
        <v>60.0</v>
      </c>
      <c r="U15" s="7">
        <v>20.0</v>
      </c>
      <c r="V15" s="7">
        <v>40.0</v>
      </c>
      <c r="W15" s="7">
        <v>70.0</v>
      </c>
      <c r="X15" s="7">
        <v>55.0</v>
      </c>
      <c r="Y15" s="7">
        <v>40.0</v>
      </c>
      <c r="Z15" s="7">
        <v>4.0</v>
      </c>
      <c r="AA15" s="7">
        <v>2.0</v>
      </c>
      <c r="AB15" s="7">
        <v>2.0</v>
      </c>
      <c r="AC15" s="7">
        <v>4.0</v>
      </c>
      <c r="AD15" s="7">
        <v>4.0</v>
      </c>
      <c r="AE15" s="7">
        <v>3.0</v>
      </c>
      <c r="AF15" s="7">
        <v>3.0</v>
      </c>
      <c r="AG15" s="7">
        <v>2.0</v>
      </c>
      <c r="AH15" s="7">
        <v>3.0</v>
      </c>
      <c r="AI15" s="7">
        <v>3.0</v>
      </c>
    </row>
    <row r="16">
      <c r="A16" s="7" t="s">
        <v>44</v>
      </c>
      <c r="B16" s="7">
        <v>549.6</v>
      </c>
      <c r="C16" s="7">
        <v>65.0</v>
      </c>
      <c r="D16" s="7">
        <v>30.0</v>
      </c>
      <c r="E16" s="7">
        <v>10.0</v>
      </c>
      <c r="F16" s="7">
        <v>90.0</v>
      </c>
      <c r="G16" s="7">
        <v>70.0</v>
      </c>
      <c r="H16" s="7">
        <v>35.0</v>
      </c>
      <c r="I16" s="7">
        <v>3.0</v>
      </c>
      <c r="J16" s="7">
        <v>2.0</v>
      </c>
      <c r="K16" s="7">
        <v>4.0</v>
      </c>
      <c r="L16" s="7">
        <v>3.0</v>
      </c>
      <c r="M16" s="7">
        <v>3.0</v>
      </c>
      <c r="N16" s="7">
        <v>3.0</v>
      </c>
      <c r="O16" s="7">
        <v>4.0</v>
      </c>
      <c r="P16" s="7">
        <v>2.0</v>
      </c>
      <c r="Q16" s="7">
        <v>2.0</v>
      </c>
      <c r="R16" s="7">
        <v>3.0</v>
      </c>
      <c r="S16" s="7">
        <v>975.0</v>
      </c>
      <c r="T16" s="7">
        <v>70.0</v>
      </c>
      <c r="U16" s="7">
        <v>20.0</v>
      </c>
      <c r="V16" s="7">
        <v>0.0</v>
      </c>
      <c r="W16" s="7">
        <v>80.0</v>
      </c>
      <c r="X16" s="7">
        <v>70.0</v>
      </c>
      <c r="Y16" s="7">
        <v>40.0</v>
      </c>
      <c r="Z16" s="7">
        <v>3.0</v>
      </c>
      <c r="AA16" s="7">
        <v>3.0</v>
      </c>
      <c r="AB16" s="7">
        <v>4.0</v>
      </c>
      <c r="AC16" s="7">
        <v>3.0</v>
      </c>
      <c r="AD16" s="7">
        <v>4.0</v>
      </c>
      <c r="AE16" s="7">
        <v>2.0</v>
      </c>
      <c r="AF16" s="7">
        <v>4.0</v>
      </c>
      <c r="AG16" s="7">
        <v>4.0</v>
      </c>
      <c r="AH16" s="7">
        <v>2.0</v>
      </c>
      <c r="AI16" s="7">
        <v>4.0</v>
      </c>
    </row>
    <row r="17">
      <c r="A17" s="7" t="s">
        <v>44</v>
      </c>
      <c r="B17" s="7">
        <v>514.0</v>
      </c>
      <c r="C17" s="7">
        <v>30.0</v>
      </c>
      <c r="D17" s="7">
        <v>15.0</v>
      </c>
      <c r="E17" s="7">
        <v>30.0</v>
      </c>
      <c r="F17" s="7">
        <v>100.0</v>
      </c>
      <c r="G17" s="7">
        <v>30.0</v>
      </c>
      <c r="H17" s="7">
        <v>10.0</v>
      </c>
      <c r="I17" s="7">
        <v>4.0</v>
      </c>
      <c r="J17" s="7">
        <v>2.0</v>
      </c>
      <c r="K17" s="7">
        <v>4.0</v>
      </c>
      <c r="L17" s="7">
        <v>4.0</v>
      </c>
      <c r="M17" s="7">
        <v>4.0</v>
      </c>
      <c r="N17" s="7">
        <v>2.0</v>
      </c>
      <c r="O17" s="7">
        <v>4.0</v>
      </c>
      <c r="P17" s="7">
        <v>2.0</v>
      </c>
      <c r="Q17" s="7">
        <v>4.0</v>
      </c>
      <c r="R17" s="7">
        <v>2.0</v>
      </c>
      <c r="S17" s="7">
        <v>1053.0</v>
      </c>
      <c r="T17" s="7">
        <v>60.0</v>
      </c>
      <c r="U17" s="7">
        <v>40.0</v>
      </c>
      <c r="V17" s="7">
        <v>70.0</v>
      </c>
      <c r="W17" s="7">
        <v>100.0</v>
      </c>
      <c r="X17" s="7">
        <v>60.0</v>
      </c>
      <c r="Y17" s="7">
        <v>55.0</v>
      </c>
      <c r="Z17" s="7">
        <v>3.0</v>
      </c>
      <c r="AA17" s="7">
        <v>3.0</v>
      </c>
      <c r="AB17" s="7">
        <v>2.0</v>
      </c>
      <c r="AC17" s="7">
        <v>3.0</v>
      </c>
      <c r="AD17" s="7">
        <v>3.0</v>
      </c>
      <c r="AE17" s="7">
        <v>3.0</v>
      </c>
      <c r="AF17" s="7">
        <v>3.0</v>
      </c>
      <c r="AG17" s="7">
        <v>2.0</v>
      </c>
      <c r="AH17" s="7">
        <v>3.0</v>
      </c>
      <c r="AI17" s="7">
        <v>2.0</v>
      </c>
    </row>
    <row r="18">
      <c r="A18" s="7" t="s">
        <v>44</v>
      </c>
      <c r="B18" s="7">
        <v>617.0</v>
      </c>
      <c r="C18" s="7">
        <v>30.0</v>
      </c>
      <c r="D18" s="7">
        <v>20.0</v>
      </c>
      <c r="E18" s="7">
        <v>40.0</v>
      </c>
      <c r="F18" s="7">
        <v>90.0</v>
      </c>
      <c r="G18" s="7">
        <v>40.0</v>
      </c>
      <c r="H18" s="7">
        <v>30.0</v>
      </c>
      <c r="I18" s="7">
        <v>4.0</v>
      </c>
      <c r="J18" s="7">
        <v>2.0</v>
      </c>
      <c r="K18" s="7">
        <v>4.0</v>
      </c>
      <c r="L18" s="7">
        <v>1.0</v>
      </c>
      <c r="M18" s="7">
        <v>5.0</v>
      </c>
      <c r="N18" s="7">
        <v>1.0</v>
      </c>
      <c r="O18" s="7">
        <v>5.0</v>
      </c>
      <c r="P18" s="7">
        <v>2.0</v>
      </c>
      <c r="Q18" s="7">
        <v>4.0</v>
      </c>
      <c r="R18" s="7">
        <v>1.0</v>
      </c>
      <c r="S18" s="7">
        <v>1065.0</v>
      </c>
      <c r="T18" s="7">
        <v>50.0</v>
      </c>
      <c r="U18" s="7">
        <v>50.0</v>
      </c>
      <c r="V18" s="7">
        <v>60.0</v>
      </c>
      <c r="W18" s="7">
        <v>70.0</v>
      </c>
      <c r="X18" s="7">
        <v>70.0</v>
      </c>
      <c r="Y18" s="7">
        <v>75.0</v>
      </c>
      <c r="Z18" s="7">
        <v>3.0</v>
      </c>
      <c r="AA18" s="7">
        <v>3.0</v>
      </c>
      <c r="AB18" s="7">
        <v>3.0</v>
      </c>
      <c r="AC18" s="7">
        <v>3.0</v>
      </c>
      <c r="AD18" s="7">
        <v>3.0</v>
      </c>
      <c r="AE18" s="7">
        <v>4.0</v>
      </c>
      <c r="AF18" s="7">
        <v>3.0</v>
      </c>
      <c r="AG18" s="7">
        <v>3.0</v>
      </c>
      <c r="AH18" s="7">
        <v>3.0</v>
      </c>
      <c r="AI18" s="7">
        <v>3.0</v>
      </c>
    </row>
    <row r="19">
      <c r="A19" s="7" t="s">
        <v>44</v>
      </c>
      <c r="B19" s="7">
        <v>670.0</v>
      </c>
      <c r="C19" s="7">
        <v>30.0</v>
      </c>
      <c r="D19" s="7">
        <v>30.0</v>
      </c>
      <c r="E19" s="7">
        <v>20.0</v>
      </c>
      <c r="F19" s="7">
        <v>80.0</v>
      </c>
      <c r="G19" s="7">
        <v>65.0</v>
      </c>
      <c r="H19" s="7">
        <v>10.0</v>
      </c>
      <c r="I19" s="7">
        <v>4.0</v>
      </c>
      <c r="J19" s="7">
        <v>1.0</v>
      </c>
      <c r="K19" s="7">
        <v>4.0</v>
      </c>
      <c r="L19" s="7">
        <v>3.0</v>
      </c>
      <c r="M19" s="7">
        <v>4.0</v>
      </c>
      <c r="N19" s="7">
        <v>1.0</v>
      </c>
      <c r="O19" s="7">
        <v>4.0</v>
      </c>
      <c r="P19" s="7">
        <v>1.0</v>
      </c>
      <c r="Q19" s="7">
        <v>4.0</v>
      </c>
      <c r="R19" s="7">
        <v>2.0</v>
      </c>
      <c r="S19" s="7">
        <v>1150.0</v>
      </c>
      <c r="T19" s="7">
        <v>80.0</v>
      </c>
      <c r="U19" s="7">
        <v>50.0</v>
      </c>
      <c r="V19" s="7">
        <v>60.0</v>
      </c>
      <c r="W19" s="7">
        <v>80.0</v>
      </c>
      <c r="X19" s="7">
        <v>75.0</v>
      </c>
      <c r="Y19" s="7">
        <v>40.0</v>
      </c>
      <c r="Z19" s="7">
        <v>3.0</v>
      </c>
      <c r="AA19" s="7">
        <v>2.0</v>
      </c>
      <c r="AB19" s="7">
        <v>3.0</v>
      </c>
      <c r="AC19" s="7">
        <v>4.0</v>
      </c>
      <c r="AD19" s="7">
        <v>3.0</v>
      </c>
      <c r="AE19" s="7">
        <v>2.0</v>
      </c>
      <c r="AF19" s="7">
        <v>3.0</v>
      </c>
      <c r="AG19" s="7">
        <v>3.0</v>
      </c>
      <c r="AH19" s="7">
        <v>3.0</v>
      </c>
      <c r="AI19" s="7">
        <v>2.0</v>
      </c>
    </row>
    <row r="22">
      <c r="A22" s="10" t="s">
        <v>40</v>
      </c>
      <c r="B22" s="11" t="s">
        <v>45</v>
      </c>
      <c r="C22" s="12"/>
      <c r="D22" s="12"/>
      <c r="E22" s="12"/>
      <c r="F22" s="12"/>
      <c r="G22" s="13"/>
      <c r="H22" s="11" t="s">
        <v>46</v>
      </c>
      <c r="I22" s="12"/>
      <c r="J22" s="12"/>
      <c r="K22" s="12"/>
      <c r="L22" s="12"/>
      <c r="M22" s="12"/>
      <c r="N22" s="12"/>
      <c r="O22" s="12"/>
      <c r="P22" s="12"/>
      <c r="Q22" s="13"/>
      <c r="R22" s="10" t="s">
        <v>47</v>
      </c>
      <c r="S22" s="10" t="s">
        <v>48</v>
      </c>
      <c r="T22" s="10" t="s">
        <v>49</v>
      </c>
    </row>
    <row r="23">
      <c r="A23" s="14"/>
      <c r="B23" s="15" t="s">
        <v>50</v>
      </c>
      <c r="C23" s="15" t="s">
        <v>51</v>
      </c>
      <c r="D23" s="15" t="s">
        <v>52</v>
      </c>
      <c r="E23" s="15" t="s">
        <v>53</v>
      </c>
      <c r="F23" s="15" t="s">
        <v>54</v>
      </c>
      <c r="G23" s="15" t="s">
        <v>55</v>
      </c>
      <c r="H23" s="15">
        <v>1.0</v>
      </c>
      <c r="I23" s="15">
        <v>2.0</v>
      </c>
      <c r="J23" s="15">
        <v>3.0</v>
      </c>
      <c r="K23" s="15">
        <v>4.0</v>
      </c>
      <c r="L23" s="15">
        <v>5.0</v>
      </c>
      <c r="M23" s="15">
        <v>6.0</v>
      </c>
      <c r="N23" s="15">
        <v>7.0</v>
      </c>
      <c r="O23" s="15">
        <v>8.0</v>
      </c>
      <c r="P23" s="15">
        <v>9.0</v>
      </c>
      <c r="Q23" s="15">
        <v>10.0</v>
      </c>
      <c r="R23" s="16"/>
      <c r="S23" s="16"/>
      <c r="T23" s="16"/>
    </row>
    <row r="24">
      <c r="A24" s="16"/>
      <c r="B24" s="17">
        <f t="shared" ref="B24:D24" si="1">sum(C4:C19)/16</f>
        <v>44.6875</v>
      </c>
      <c r="C24" s="17">
        <f t="shared" si="1"/>
        <v>23.75</v>
      </c>
      <c r="D24" s="17">
        <f t="shared" si="1"/>
        <v>32.1875</v>
      </c>
      <c r="E24" s="17">
        <f>100-sum(F4:F19)/16</f>
        <v>21.25</v>
      </c>
      <c r="F24" s="17">
        <f t="shared" ref="F24:Q24" si="2">sum(G4:G19)/16</f>
        <v>44.6875</v>
      </c>
      <c r="G24" s="17">
        <f t="shared" si="2"/>
        <v>20</v>
      </c>
      <c r="H24" s="17">
        <f t="shared" si="2"/>
        <v>3.6875</v>
      </c>
      <c r="I24" s="17">
        <f t="shared" si="2"/>
        <v>1.8125</v>
      </c>
      <c r="J24" s="17">
        <f t="shared" si="2"/>
        <v>3.75</v>
      </c>
      <c r="K24" s="17">
        <f t="shared" si="2"/>
        <v>2.625</v>
      </c>
      <c r="L24" s="17">
        <f t="shared" si="2"/>
        <v>3.75</v>
      </c>
      <c r="M24" s="17">
        <f t="shared" si="2"/>
        <v>1.625</v>
      </c>
      <c r="N24" s="17">
        <f t="shared" si="2"/>
        <v>3.75</v>
      </c>
      <c r="O24" s="17">
        <f t="shared" si="2"/>
        <v>1.875</v>
      </c>
      <c r="P24" s="17">
        <f t="shared" si="2"/>
        <v>3.6875</v>
      </c>
      <c r="Q24" s="17">
        <f t="shared" si="2"/>
        <v>2.3125</v>
      </c>
      <c r="R24" s="18">
        <f>sum(B4:B19)/16</f>
        <v>597.7875</v>
      </c>
      <c r="S24" s="19">
        <f>sum(B24:G24)/6</f>
        <v>31.09375</v>
      </c>
      <c r="T24" s="19">
        <f>(H24+J24+L24+N24+P24-5+25-I24-K24-M24-O24-Q24)*2.5</f>
        <v>70.9375</v>
      </c>
    </row>
    <row r="26">
      <c r="A26" s="10" t="s">
        <v>41</v>
      </c>
      <c r="B26" s="11" t="s">
        <v>45</v>
      </c>
      <c r="C26" s="12"/>
      <c r="D26" s="12"/>
      <c r="E26" s="12"/>
      <c r="F26" s="12"/>
      <c r="G26" s="13"/>
      <c r="H26" s="11" t="s">
        <v>46</v>
      </c>
      <c r="I26" s="12"/>
      <c r="J26" s="12"/>
      <c r="K26" s="12"/>
      <c r="L26" s="12"/>
      <c r="M26" s="12"/>
      <c r="N26" s="12"/>
      <c r="O26" s="12"/>
      <c r="P26" s="12"/>
      <c r="Q26" s="13"/>
      <c r="R26" s="10" t="s">
        <v>47</v>
      </c>
      <c r="S26" s="10" t="s">
        <v>48</v>
      </c>
      <c r="T26" s="10" t="s">
        <v>49</v>
      </c>
    </row>
    <row r="27">
      <c r="A27" s="14"/>
      <c r="B27" s="15" t="s">
        <v>50</v>
      </c>
      <c r="C27" s="15" t="s">
        <v>51</v>
      </c>
      <c r="D27" s="15" t="s">
        <v>52</v>
      </c>
      <c r="E27" s="15" t="s">
        <v>53</v>
      </c>
      <c r="F27" s="15" t="s">
        <v>54</v>
      </c>
      <c r="G27" s="15" t="s">
        <v>55</v>
      </c>
      <c r="H27" s="15">
        <v>1.0</v>
      </c>
      <c r="I27" s="15">
        <v>2.0</v>
      </c>
      <c r="J27" s="15">
        <v>3.0</v>
      </c>
      <c r="K27" s="15">
        <v>4.0</v>
      </c>
      <c r="L27" s="15">
        <v>5.0</v>
      </c>
      <c r="M27" s="15">
        <v>6.0</v>
      </c>
      <c r="N27" s="15">
        <v>7.0</v>
      </c>
      <c r="O27" s="15">
        <v>8.0</v>
      </c>
      <c r="P27" s="15">
        <v>9.0</v>
      </c>
      <c r="Q27" s="15">
        <v>10.0</v>
      </c>
      <c r="R27" s="16"/>
      <c r="S27" s="16"/>
      <c r="T27" s="16"/>
    </row>
    <row r="28">
      <c r="A28" s="16"/>
      <c r="B28" s="17">
        <f t="shared" ref="B28:D28" si="3">sum(T4:T19)/16</f>
        <v>70.3125</v>
      </c>
      <c r="C28" s="17">
        <f t="shared" si="3"/>
        <v>37.8125</v>
      </c>
      <c r="D28" s="17">
        <f t="shared" si="3"/>
        <v>46.25</v>
      </c>
      <c r="E28" s="17">
        <f>100-sum(W4:W19)/16</f>
        <v>22.8125</v>
      </c>
      <c r="F28" s="17">
        <f t="shared" ref="F28:Q28" si="4">sum(X4:X19)/16</f>
        <v>69.0625</v>
      </c>
      <c r="G28" s="17">
        <f t="shared" si="4"/>
        <v>45.625</v>
      </c>
      <c r="H28" s="17">
        <f t="shared" si="4"/>
        <v>2.375</v>
      </c>
      <c r="I28" s="17">
        <f t="shared" si="4"/>
        <v>3.5625</v>
      </c>
      <c r="J28" s="17">
        <f t="shared" si="4"/>
        <v>2.125</v>
      </c>
      <c r="K28" s="17">
        <f t="shared" si="4"/>
        <v>3.9375</v>
      </c>
      <c r="L28" s="17">
        <f t="shared" si="4"/>
        <v>2.625</v>
      </c>
      <c r="M28" s="17">
        <f t="shared" si="4"/>
        <v>3.1875</v>
      </c>
      <c r="N28" s="17">
        <f t="shared" si="4"/>
        <v>2</v>
      </c>
      <c r="O28" s="17">
        <f t="shared" si="4"/>
        <v>3.5625</v>
      </c>
      <c r="P28" s="17">
        <f t="shared" si="4"/>
        <v>2.3125</v>
      </c>
      <c r="Q28" s="17">
        <f t="shared" si="4"/>
        <v>3.75</v>
      </c>
      <c r="R28" s="18">
        <f>sum(S4:S19)/16</f>
        <v>1019</v>
      </c>
      <c r="S28" s="19">
        <f>sum(B28:G28)/6</f>
        <v>48.64583333</v>
      </c>
      <c r="T28" s="19">
        <f>(H28+J28+L28+N28+P28-5+25-I28-K28-M28-O28-Q28)*2.5</f>
        <v>33.59375</v>
      </c>
    </row>
    <row r="31">
      <c r="A31" s="20"/>
      <c r="B31" s="10" t="s">
        <v>47</v>
      </c>
      <c r="C31" s="10" t="s">
        <v>48</v>
      </c>
      <c r="D31" s="10" t="s">
        <v>49</v>
      </c>
    </row>
    <row r="32">
      <c r="A32" s="21"/>
      <c r="B32" s="16"/>
      <c r="C32" s="16"/>
      <c r="D32" s="16"/>
    </row>
    <row r="33">
      <c r="A33" s="15" t="s">
        <v>56</v>
      </c>
      <c r="B33" s="19">
        <f t="shared" ref="B33:D33" si="5">R24/R28</f>
        <v>0.586641315</v>
      </c>
      <c r="C33" s="19">
        <f t="shared" si="5"/>
        <v>0.6391862955</v>
      </c>
      <c r="D33" s="19">
        <f t="shared" si="5"/>
        <v>2.111627907</v>
      </c>
    </row>
    <row r="34">
      <c r="A34" s="22" t="s">
        <v>57</v>
      </c>
      <c r="B34" s="23">
        <f t="shared" ref="B34:C34" si="6">(1-B33)*100</f>
        <v>41.3358685</v>
      </c>
      <c r="C34" s="23">
        <f t="shared" si="6"/>
        <v>36.08137045</v>
      </c>
      <c r="D34" s="18"/>
    </row>
    <row r="49">
      <c r="L49" s="24"/>
    </row>
    <row r="52">
      <c r="L52" s="24"/>
    </row>
  </sheetData>
  <mergeCells count="17">
    <mergeCell ref="B2:R2"/>
    <mergeCell ref="S2:AI2"/>
    <mergeCell ref="B22:G22"/>
    <mergeCell ref="H22:Q22"/>
    <mergeCell ref="R22:R23"/>
    <mergeCell ref="S22:S23"/>
    <mergeCell ref="T22:T23"/>
    <mergeCell ref="B31:B32"/>
    <mergeCell ref="C31:C32"/>
    <mergeCell ref="D31:D32"/>
    <mergeCell ref="A22:A24"/>
    <mergeCell ref="A26:A28"/>
    <mergeCell ref="B26:G26"/>
    <mergeCell ref="H26:Q26"/>
    <mergeCell ref="R26:R27"/>
    <mergeCell ref="S26:S27"/>
    <mergeCell ref="T26:T27"/>
  </mergeCells>
  <drawing r:id="rId1"/>
  <tableParts count="2">
    <tablePart r:id="rId4"/>
    <tablePart r:id="rId5"/>
  </tableParts>
</worksheet>
</file>